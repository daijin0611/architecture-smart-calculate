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ji\Desktop\"/>
    </mc:Choice>
  </mc:AlternateContent>
  <xr:revisionPtr revIDLastSave="0" documentId="8_{899D9E53-E878-4145-9945-F9E53D37EB21}" xr6:coauthVersionLast="47" xr6:coauthVersionMax="47" xr10:uidLastSave="{00000000-0000-0000-0000-000000000000}"/>
  <bookViews>
    <workbookView xWindow="-110" yWindow="-110" windowWidth="25820" windowHeight="15500" xr2:uid="{901C6875-76D1-4375-948C-F2DFC8BA32EA}"/>
  </bookViews>
  <sheets>
    <sheet name="L型柱截面几何参数计算" sheetId="3" r:id="rId1"/>
    <sheet name="Temp-1" sheetId="1" r:id="rId2"/>
    <sheet name="Temp-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3" i="3" l="1"/>
  <c r="C52" i="3" l="1"/>
  <c r="C51" i="3"/>
  <c r="G29" i="3"/>
  <c r="G31" i="3"/>
  <c r="F31" i="3"/>
  <c r="G30" i="3"/>
  <c r="F30" i="3"/>
  <c r="F29" i="3"/>
  <c r="G28" i="3"/>
  <c r="F28" i="3"/>
  <c r="G27" i="3"/>
  <c r="F27" i="3"/>
  <c r="L18" i="3" l="1"/>
  <c r="L17" i="3"/>
  <c r="L16" i="3"/>
  <c r="L15" i="3"/>
  <c r="L14" i="3"/>
  <c r="L13" i="3"/>
  <c r="C18" i="3"/>
  <c r="Q8" i="2"/>
  <c r="R8" i="2"/>
  <c r="I7" i="3"/>
  <c r="I6" i="3"/>
  <c r="H5" i="3"/>
  <c r="H4" i="3"/>
  <c r="H3" i="3"/>
  <c r="G8" i="3"/>
  <c r="F8" i="3"/>
  <c r="F4" i="3"/>
  <c r="G7" i="3"/>
  <c r="F7" i="3"/>
  <c r="G6" i="3"/>
  <c r="F6" i="3"/>
  <c r="G5" i="3"/>
  <c r="F5" i="3"/>
  <c r="G4" i="3"/>
  <c r="O8" i="3"/>
  <c r="G3" i="3"/>
  <c r="F3" i="3"/>
  <c r="K3" i="3" l="1"/>
  <c r="J3" i="3"/>
  <c r="J4" i="3"/>
  <c r="R4" i="3" s="1"/>
  <c r="K6" i="3"/>
  <c r="J7" i="3"/>
  <c r="R7" i="3" s="1"/>
  <c r="L5" i="3"/>
  <c r="J5" i="3"/>
  <c r="R5" i="3" s="1"/>
  <c r="J6" i="3"/>
  <c r="R6" i="3" s="1"/>
  <c r="L4" i="3"/>
  <c r="K5" i="3"/>
  <c r="L7" i="3"/>
  <c r="L3" i="3"/>
  <c r="K4" i="3"/>
  <c r="K7" i="3"/>
  <c r="L6" i="3"/>
  <c r="H7" i="2"/>
  <c r="Q7" i="2" s="1"/>
  <c r="H6" i="2"/>
  <c r="B8" i="2"/>
  <c r="F6" i="2"/>
  <c r="J6" i="2" s="1"/>
  <c r="Q4" i="2"/>
  <c r="Q5" i="2"/>
  <c r="Q3" i="2"/>
  <c r="N3" i="2"/>
  <c r="J3" i="2"/>
  <c r="K3" i="2"/>
  <c r="J4" i="2"/>
  <c r="K4" i="2"/>
  <c r="J5" i="2"/>
  <c r="K5" i="2"/>
  <c r="J7" i="2"/>
  <c r="K7" i="2"/>
  <c r="G3" i="2"/>
  <c r="G5" i="2"/>
  <c r="G4" i="2"/>
  <c r="I4" i="2"/>
  <c r="I5" i="2"/>
  <c r="I7" i="2"/>
  <c r="I3" i="2"/>
  <c r="F7" i="2"/>
  <c r="E7" i="2"/>
  <c r="E6" i="2"/>
  <c r="F5" i="2"/>
  <c r="E5" i="2"/>
  <c r="F4" i="2"/>
  <c r="E4" i="2"/>
  <c r="F3" i="2"/>
  <c r="E3" i="2"/>
  <c r="B9" i="2"/>
  <c r="B7" i="2"/>
  <c r="B4" i="2"/>
  <c r="E8" i="2"/>
  <c r="F8" i="2"/>
  <c r="M3" i="3" l="1"/>
  <c r="N4" i="3"/>
  <c r="J8" i="3"/>
  <c r="M6" i="3"/>
  <c r="N5" i="3"/>
  <c r="R3" i="3"/>
  <c r="M5" i="3"/>
  <c r="N3" i="3"/>
  <c r="N6" i="3"/>
  <c r="M4" i="3"/>
  <c r="M7" i="3"/>
  <c r="N7" i="3"/>
  <c r="K6" i="2"/>
  <c r="I6" i="2"/>
  <c r="Q6" i="2" s="1"/>
  <c r="L7" i="2"/>
  <c r="N8" i="2"/>
  <c r="M3" i="2"/>
  <c r="L4" i="2"/>
  <c r="N3" i="1"/>
  <c r="N6" i="1"/>
  <c r="N5" i="1"/>
  <c r="N4" i="1"/>
  <c r="E8" i="1"/>
  <c r="F7" i="1"/>
  <c r="E7" i="1"/>
  <c r="K7" i="1" s="1"/>
  <c r="F8" i="1"/>
  <c r="F6" i="1"/>
  <c r="F5" i="1"/>
  <c r="F4" i="1"/>
  <c r="F3" i="1"/>
  <c r="E6" i="1"/>
  <c r="E5" i="1"/>
  <c r="E3" i="1"/>
  <c r="E4" i="1"/>
  <c r="I7" i="1"/>
  <c r="H7" i="1"/>
  <c r="G7" i="1"/>
  <c r="G5" i="1"/>
  <c r="I6" i="1"/>
  <c r="H6" i="1"/>
  <c r="G6" i="1"/>
  <c r="I5" i="1"/>
  <c r="I4" i="1"/>
  <c r="H4" i="1"/>
  <c r="G4" i="1"/>
  <c r="B4" i="1"/>
  <c r="N7" i="1" s="1"/>
  <c r="I3" i="1"/>
  <c r="H3" i="1"/>
  <c r="G3" i="1"/>
  <c r="I8" i="3" l="1"/>
  <c r="P6" i="3" s="1"/>
  <c r="C7" i="3"/>
  <c r="N8" i="3"/>
  <c r="H8" i="3"/>
  <c r="M8" i="3"/>
  <c r="I8" i="2"/>
  <c r="G8" i="2" s="1"/>
  <c r="P3" i="2" s="1"/>
  <c r="L6" i="2"/>
  <c r="M6" i="2"/>
  <c r="M5" i="2"/>
  <c r="M7" i="2"/>
  <c r="L5" i="2"/>
  <c r="H8" i="2"/>
  <c r="P6" i="2"/>
  <c r="M4" i="2"/>
  <c r="L3" i="2"/>
  <c r="J3" i="1"/>
  <c r="K5" i="1"/>
  <c r="H5" i="1"/>
  <c r="J4" i="1"/>
  <c r="L4" i="1" s="1"/>
  <c r="K6" i="1"/>
  <c r="M6" i="1" s="1"/>
  <c r="I8" i="1"/>
  <c r="M5" i="1"/>
  <c r="J5" i="1"/>
  <c r="M7" i="1"/>
  <c r="K4" i="1"/>
  <c r="M4" i="1" s="1"/>
  <c r="K3" i="1"/>
  <c r="M3" i="1" s="1"/>
  <c r="J7" i="1"/>
  <c r="L7" i="1" s="1"/>
  <c r="J6" i="1"/>
  <c r="L3" i="1"/>
  <c r="N8" i="1"/>
  <c r="P7" i="3" l="1"/>
  <c r="C9" i="3"/>
  <c r="P5" i="3"/>
  <c r="P3" i="3"/>
  <c r="P4" i="3"/>
  <c r="Q7" i="3"/>
  <c r="R8" i="3"/>
  <c r="Q5" i="3"/>
  <c r="Q4" i="3"/>
  <c r="Q6" i="3"/>
  <c r="Q3" i="3"/>
  <c r="C8" i="3"/>
  <c r="P4" i="2"/>
  <c r="B15" i="2"/>
  <c r="P5" i="2"/>
  <c r="B16" i="2"/>
  <c r="M8" i="2"/>
  <c r="P7" i="2"/>
  <c r="O5" i="2"/>
  <c r="O6" i="2"/>
  <c r="O3" i="2"/>
  <c r="O4" i="2"/>
  <c r="O7" i="2"/>
  <c r="L8" i="2"/>
  <c r="H8" i="1"/>
  <c r="O4" i="1" s="1"/>
  <c r="G8" i="1"/>
  <c r="P3" i="1" s="1"/>
  <c r="L5" i="1"/>
  <c r="O7" i="1"/>
  <c r="M8" i="1"/>
  <c r="L6" i="1"/>
  <c r="H30" i="3" l="1"/>
  <c r="H28" i="3"/>
  <c r="H31" i="3"/>
  <c r="H27" i="3"/>
  <c r="H29" i="3"/>
  <c r="G20" i="3"/>
  <c r="I31" i="3"/>
  <c r="I29" i="3"/>
  <c r="I30" i="3"/>
  <c r="I28" i="3"/>
  <c r="I27" i="3"/>
  <c r="G22" i="3"/>
  <c r="G14" i="3"/>
  <c r="G17" i="3"/>
  <c r="G15" i="3"/>
  <c r="G13" i="3"/>
  <c r="G19" i="3"/>
  <c r="G21" i="3"/>
  <c r="G18" i="3"/>
  <c r="P8" i="3"/>
  <c r="C10" i="3" s="1"/>
  <c r="C12" i="3"/>
  <c r="F20" i="3"/>
  <c r="F18" i="3"/>
  <c r="F13" i="3"/>
  <c r="F22" i="3"/>
  <c r="F17" i="3"/>
  <c r="F19" i="3"/>
  <c r="F15" i="3"/>
  <c r="F14" i="3"/>
  <c r="F21" i="3"/>
  <c r="Q8" i="3"/>
  <c r="P8" i="2"/>
  <c r="O8" i="2"/>
  <c r="B13" i="1"/>
  <c r="O6" i="1"/>
  <c r="O5" i="1"/>
  <c r="O3" i="1"/>
  <c r="L8" i="1"/>
  <c r="P5" i="1"/>
  <c r="P7" i="1"/>
  <c r="P4" i="1"/>
  <c r="Q4" i="1"/>
  <c r="Q8" i="1"/>
  <c r="Q3" i="1"/>
  <c r="Q7" i="1"/>
  <c r="Q6" i="1"/>
  <c r="Q5" i="1"/>
  <c r="P6" i="1"/>
  <c r="B12" i="1"/>
  <c r="U3" i="1" s="1"/>
  <c r="C17" i="3" l="1"/>
  <c r="C16" i="3"/>
  <c r="U8" i="3"/>
  <c r="C14" i="3" s="1"/>
  <c r="C11" i="3"/>
  <c r="C19" i="3" s="1"/>
  <c r="S8" i="3"/>
  <c r="T8" i="3"/>
  <c r="C13" i="3" s="1"/>
  <c r="C55" i="3" s="1"/>
  <c r="T8" i="2"/>
  <c r="S8" i="2"/>
  <c r="P8" i="1"/>
  <c r="O8" i="1"/>
  <c r="C56" i="3" l="1"/>
  <c r="L22" i="3"/>
  <c r="C47" i="3"/>
  <c r="C50" i="3"/>
  <c r="C49" i="3"/>
  <c r="C48" i="3"/>
  <c r="C66" i="3" s="1"/>
  <c r="J29" i="3"/>
  <c r="K29" i="3"/>
  <c r="K28" i="3"/>
  <c r="J30" i="3"/>
  <c r="J27" i="3"/>
  <c r="K30" i="3"/>
  <c r="J31" i="3"/>
  <c r="J28" i="3"/>
  <c r="K31" i="3"/>
  <c r="K27" i="3"/>
  <c r="L23" i="3"/>
  <c r="C20" i="3"/>
  <c r="L20" i="3" s="1"/>
  <c r="C21" i="3"/>
  <c r="L19" i="3" s="1"/>
  <c r="T8" i="1"/>
  <c r="R8" i="1"/>
  <c r="S8" i="1"/>
  <c r="C65" i="3" l="1"/>
  <c r="C34" i="3" a="1"/>
  <c r="C34" i="3" s="1"/>
  <c r="K32" i="3" a="1"/>
  <c r="K32" i="3" s="1"/>
  <c r="J32" i="3" a="1"/>
  <c r="J32" i="3" s="1"/>
  <c r="C33" i="3" a="1"/>
  <c r="C33" i="3" s="1"/>
  <c r="H19" i="3"/>
  <c r="H20" i="3"/>
  <c r="H22" i="3"/>
  <c r="H17" i="3"/>
  <c r="H21" i="3"/>
  <c r="H18" i="3"/>
  <c r="C23" i="3"/>
  <c r="H15" i="3"/>
  <c r="H13" i="3"/>
  <c r="H14" i="3"/>
  <c r="C22" i="3"/>
  <c r="O18" i="3" l="1"/>
  <c r="C24" i="3"/>
  <c r="O19" i="3"/>
  <c r="O16" i="3"/>
  <c r="O21" i="3"/>
  <c r="O20" i="3"/>
  <c r="C25" i="3"/>
  <c r="O13" i="3"/>
  <c r="O15" i="3"/>
  <c r="O14" i="3"/>
  <c r="O17" i="3"/>
  <c r="L21" i="3"/>
  <c r="C27" i="3" l="1"/>
  <c r="I20" i="3"/>
  <c r="I16" i="3"/>
  <c r="I22" i="3"/>
  <c r="I19" i="3"/>
  <c r="I14" i="3"/>
  <c r="C26" i="3"/>
  <c r="I21" i="3"/>
  <c r="I15" i="3"/>
  <c r="I13" i="3"/>
  <c r="I18" i="3"/>
  <c r="I17" i="3"/>
  <c r="C32" i="3" l="1"/>
  <c r="C31" i="3"/>
  <c r="C29" i="3"/>
  <c r="C30" i="3" s="1"/>
  <c r="C28" i="3"/>
  <c r="C59" i="3" l="1"/>
  <c r="D59" i="3" s="1"/>
  <c r="C60" i="3"/>
  <c r="D60" i="3" s="1"/>
  <c r="C57" i="3"/>
  <c r="C67" i="3"/>
  <c r="D67" i="3" s="1"/>
  <c r="C58" i="3" l="1"/>
  <c r="C54" i="3" l="1" a="1"/>
  <c r="C5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<sst xmlns="http://schemas.openxmlformats.org/spreadsheetml/2006/main" count="320" uniqueCount="217">
  <si>
    <t>基本参数</t>
    <phoneticPr fontId="1" type="noConversion"/>
  </si>
  <si>
    <t>mm</t>
    <phoneticPr fontId="1" type="noConversion"/>
  </si>
  <si>
    <t>h1</t>
    <phoneticPr fontId="1" type="noConversion"/>
  </si>
  <si>
    <t>h2</t>
    <phoneticPr fontId="1" type="noConversion"/>
  </si>
  <si>
    <t>b1</t>
    <phoneticPr fontId="1" type="noConversion"/>
  </si>
  <si>
    <t>b2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</si>
  <si>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</si>
  <si>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</si>
  <si>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</si>
  <si>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</si>
  <si>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t5</t>
    <phoneticPr fontId="1" type="noConversion"/>
  </si>
  <si>
    <t>h3</t>
    <phoneticPr fontId="1" type="noConversion"/>
  </si>
  <si>
    <t>X</t>
    <phoneticPr fontId="1" type="noConversion"/>
  </si>
  <si>
    <t>Y</t>
    <phoneticPr fontId="1" type="noConversion"/>
  </si>
  <si>
    <t>B1</t>
    <phoneticPr fontId="1" type="noConversion"/>
  </si>
  <si>
    <t>B2</t>
  </si>
  <si>
    <t>B3</t>
  </si>
  <si>
    <t>B4</t>
  </si>
  <si>
    <t>B5</t>
  </si>
  <si>
    <t>C</t>
    <phoneticPr fontId="1" type="noConversion"/>
  </si>
  <si>
    <t>板</t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</si>
  <si>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X0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</si>
  <si>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Y0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</si>
  <si>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x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</si>
  <si>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y</t>
    </r>
    <phoneticPr fontId="1" type="noConversion"/>
  </si>
  <si>
    <t>长度/mm</t>
    <phoneticPr fontId="1" type="noConversion"/>
  </si>
  <si>
    <t>形心坐标/mm</t>
    <phoneticPr fontId="1" type="noConversion"/>
  </si>
  <si>
    <r>
      <t>面积
mm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</si>
  <si>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惯性矩/mm</t>
    </r>
    <r>
      <rPr>
        <vertAlign val="superscript"/>
        <sz val="11"/>
        <color theme="1"/>
        <rFont val="等线"/>
        <family val="3"/>
        <charset val="134"/>
        <scheme val="minor"/>
      </rPr>
      <t>4</t>
    </r>
    <phoneticPr fontId="1" type="noConversion"/>
  </si>
  <si>
    <t>-</t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</si>
  <si>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xc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</si>
  <si>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yc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</si>
  <si>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xy0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</si>
  <si>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xyc</t>
    </r>
    <phoneticPr fontId="1" type="noConversion"/>
  </si>
  <si>
    <t>主轴夹角</t>
    <phoneticPr fontId="1" type="noConversion"/>
  </si>
  <si>
    <t>主轴惯性矩</t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</si>
  <si>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xc0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</si>
  <si>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yc0</t>
    </r>
    <phoneticPr fontId="1" type="noConversion"/>
  </si>
  <si>
    <t>竖向剪力</t>
    <phoneticPr fontId="1" type="noConversion"/>
  </si>
  <si>
    <t>X函数</t>
    <phoneticPr fontId="1" type="noConversion"/>
  </si>
  <si>
    <t>Cx</t>
    <phoneticPr fontId="1" type="noConversion"/>
  </si>
  <si>
    <t>Cy</t>
    <phoneticPr fontId="1" type="noConversion"/>
  </si>
  <si>
    <t>Sx</t>
    <phoneticPr fontId="1" type="noConversion"/>
  </si>
  <si>
    <t>Sy</t>
    <phoneticPr fontId="1" type="noConversion"/>
  </si>
  <si>
    <t>Y函数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</si>
  <si>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</si>
  <si>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</si>
  <si>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</si>
  <si>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x</t>
    <phoneticPr fontId="1" type="noConversion"/>
  </si>
  <si>
    <t>y</t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</si>
  <si>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x0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</si>
  <si>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y0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</si>
  <si>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Xc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</si>
  <si>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Yc</t>
    </r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</si>
  <si>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XYc</t>
    </r>
    <phoneticPr fontId="1" type="noConversion"/>
  </si>
  <si>
    <t>b</t>
    <phoneticPr fontId="1" type="noConversion"/>
  </si>
  <si>
    <t>ALL</t>
    <phoneticPr fontId="1" type="noConversion"/>
  </si>
  <si>
    <t>B2</t>
    <phoneticPr fontId="1" type="noConversion"/>
  </si>
  <si>
    <t>IX</t>
    <phoneticPr fontId="1" type="noConversion"/>
  </si>
  <si>
    <t>IY</t>
    <phoneticPr fontId="1" type="noConversion"/>
  </si>
  <si>
    <t>扭转常数</t>
    <phoneticPr fontId="1" type="noConversion"/>
  </si>
  <si>
    <t>Ik</t>
    <phoneticPr fontId="1" type="noConversion"/>
  </si>
  <si>
    <t>名称</t>
    <phoneticPr fontId="1" type="noConversion"/>
  </si>
  <si>
    <t>H型钢高度</t>
    <phoneticPr fontId="1" type="noConversion"/>
  </si>
  <si>
    <t>T型钢高度</t>
    <phoneticPr fontId="1" type="noConversion"/>
  </si>
  <si>
    <t>翼缘宽度</t>
    <phoneticPr fontId="1" type="noConversion"/>
  </si>
  <si>
    <t>翼缘厚度</t>
    <phoneticPr fontId="1" type="noConversion"/>
  </si>
  <si>
    <t>腹板厚度</t>
    <phoneticPr fontId="1" type="noConversion"/>
  </si>
  <si>
    <t>形心坐标系下X轴惯性矩</t>
    <phoneticPr fontId="1" type="noConversion"/>
  </si>
  <si>
    <t>形心坐标系下Y轴惯性矩</t>
    <phoneticPr fontId="1" type="noConversion"/>
  </si>
  <si>
    <t>形心坐标系下惯性积</t>
    <phoneticPr fontId="1" type="noConversion"/>
  </si>
  <si>
    <t>IXY</t>
    <phoneticPr fontId="1" type="noConversion"/>
  </si>
  <si>
    <t>计算参数</t>
    <phoneticPr fontId="1" type="noConversion"/>
  </si>
  <si>
    <t>B3</t>
    <phoneticPr fontId="1" type="noConversion"/>
  </si>
  <si>
    <t>工程坐标系形心坐标x</t>
    <phoneticPr fontId="1" type="noConversion"/>
  </si>
  <si>
    <t>工程坐标系形心坐标y</t>
    <phoneticPr fontId="1" type="noConversion"/>
  </si>
  <si>
    <t>xx0</t>
    <phoneticPr fontId="1" type="noConversion"/>
  </si>
  <si>
    <t>yy0</t>
    <phoneticPr fontId="1" type="noConversion"/>
  </si>
  <si>
    <t>分区</t>
    <phoneticPr fontId="1" type="noConversion"/>
  </si>
  <si>
    <t>形心坐标</t>
    <phoneticPr fontId="1" type="noConversion"/>
  </si>
  <si>
    <t>r13</t>
    <phoneticPr fontId="1" type="noConversion"/>
  </si>
  <si>
    <t>r23</t>
    <phoneticPr fontId="1" type="noConversion"/>
  </si>
  <si>
    <t>r57</t>
    <phoneticPr fontId="1" type="noConversion"/>
  </si>
  <si>
    <t>r67</t>
    <phoneticPr fontId="1" type="noConversion"/>
  </si>
  <si>
    <t>r810</t>
    <phoneticPr fontId="1" type="noConversion"/>
  </si>
  <si>
    <t>r910</t>
    <phoneticPr fontId="1" type="noConversion"/>
  </si>
  <si>
    <t>参数</t>
    <phoneticPr fontId="1" type="noConversion"/>
  </si>
  <si>
    <t>数值</t>
    <phoneticPr fontId="1" type="noConversion"/>
  </si>
  <si>
    <t>yita</t>
  </si>
  <si>
    <t>kesin</t>
    <phoneticPr fontId="1" type="noConversion"/>
  </si>
  <si>
    <t>工程坐标系下剪心坐标</t>
    <phoneticPr fontId="1" type="noConversion"/>
  </si>
  <si>
    <t>xxs</t>
    <phoneticPr fontId="1" type="noConversion"/>
  </si>
  <si>
    <t>yys</t>
    <phoneticPr fontId="1" type="noConversion"/>
  </si>
  <si>
    <t>形心坐标系下剪心坐标</t>
    <phoneticPr fontId="1" type="noConversion"/>
  </si>
  <si>
    <t>主轴夹角（弧度制）</t>
    <phoneticPr fontId="1" type="noConversion"/>
  </si>
  <si>
    <t>α</t>
    <phoneticPr fontId="1" type="noConversion"/>
  </si>
  <si>
    <t>主轴夹角（角度制）</t>
    <phoneticPr fontId="1" type="noConversion"/>
  </si>
  <si>
    <t>Xs</t>
    <phoneticPr fontId="1" type="noConversion"/>
  </si>
  <si>
    <t>Ys</t>
    <phoneticPr fontId="1" type="noConversion"/>
  </si>
  <si>
    <t>形心主坐标系下剪心坐标</t>
    <phoneticPr fontId="1" type="noConversion"/>
  </si>
  <si>
    <t>xs</t>
    <phoneticPr fontId="1" type="noConversion"/>
  </si>
  <si>
    <t>ys</t>
    <phoneticPr fontId="1" type="noConversion"/>
  </si>
  <si>
    <t>ws</t>
    <phoneticPr fontId="1" type="noConversion"/>
  </si>
  <si>
    <t>wss</t>
    <phoneticPr fontId="1" type="noConversion"/>
  </si>
  <si>
    <t>rs31</t>
    <phoneticPr fontId="1" type="noConversion"/>
  </si>
  <si>
    <t>rs32</t>
    <phoneticPr fontId="1" type="noConversion"/>
  </si>
  <si>
    <t>rs410</t>
    <phoneticPr fontId="1" type="noConversion"/>
  </si>
  <si>
    <t>rs43</t>
    <phoneticPr fontId="1" type="noConversion"/>
  </si>
  <si>
    <t>rs47</t>
    <phoneticPr fontId="1" type="noConversion"/>
  </si>
  <si>
    <t>rs75</t>
    <phoneticPr fontId="1" type="noConversion"/>
  </si>
  <si>
    <t>rs76</t>
    <phoneticPr fontId="1" type="noConversion"/>
  </si>
  <si>
    <t>rs910</t>
    <phoneticPr fontId="1" type="noConversion"/>
  </si>
  <si>
    <t>rs810</t>
    <phoneticPr fontId="1" type="noConversion"/>
  </si>
  <si>
    <t>D</t>
    <phoneticPr fontId="1" type="noConversion"/>
  </si>
  <si>
    <t>截面积</t>
    <phoneticPr fontId="1" type="noConversion"/>
  </si>
  <si>
    <t>A</t>
    <phoneticPr fontId="1" type="noConversion"/>
  </si>
  <si>
    <t>翘曲常数</t>
    <phoneticPr fontId="1" type="noConversion"/>
  </si>
  <si>
    <t>Iw</t>
    <phoneticPr fontId="1" type="noConversion"/>
  </si>
  <si>
    <t>不对称截面常数</t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</si>
  <si>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0</t>
    </r>
    <phoneticPr fontId="1" type="noConversion"/>
  </si>
  <si>
    <t>x主惯性矩</t>
    <phoneticPr fontId="1" type="noConversion"/>
  </si>
  <si>
    <t>y主惯性矩</t>
    <phoneticPr fontId="1" type="noConversion"/>
  </si>
  <si>
    <t>主惯性积</t>
    <phoneticPr fontId="1" type="noConversion"/>
  </si>
  <si>
    <t>Ixy</t>
    <phoneticPr fontId="1" type="noConversion"/>
  </si>
  <si>
    <t>Ix</t>
    <phoneticPr fontId="1" type="noConversion"/>
  </si>
  <si>
    <t>Iy</t>
    <phoneticPr fontId="1" type="noConversion"/>
  </si>
  <si>
    <t>limty</t>
  </si>
  <si>
    <t>limtx</t>
    <phoneticPr fontId="1" type="noConversion"/>
  </si>
  <si>
    <t>βx</t>
    <phoneticPr fontId="1" type="noConversion"/>
  </si>
  <si>
    <t>βy</t>
    <phoneticPr fontId="1" type="noConversion"/>
  </si>
  <si>
    <t>关于X轴不对称常数</t>
    <phoneticPr fontId="1" type="noConversion"/>
  </si>
  <si>
    <t>关于Y轴不对称常数</t>
    <phoneticPr fontId="1" type="noConversion"/>
  </si>
  <si>
    <t>单位制mm</t>
    <phoneticPr fontId="1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</si>
  <si>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</si>
  <si>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轴力设计值</t>
    <phoneticPr fontId="1" type="noConversion"/>
  </si>
  <si>
    <t>N</t>
    <phoneticPr fontId="1" type="noConversion"/>
  </si>
  <si>
    <t>形心主轴x截面模量</t>
    <phoneticPr fontId="1" type="noConversion"/>
  </si>
  <si>
    <t>形心主轴y截面模量</t>
    <phoneticPr fontId="1" type="noConversion"/>
  </si>
  <si>
    <t>Wx</t>
    <phoneticPr fontId="1" type="noConversion"/>
  </si>
  <si>
    <t>Wy</t>
    <phoneticPr fontId="1" type="noConversion"/>
  </si>
  <si>
    <t>P1</t>
    <phoneticPr fontId="1" type="noConversion"/>
  </si>
  <si>
    <t>P2</t>
  </si>
  <si>
    <t>P3</t>
  </si>
  <si>
    <t>P4</t>
  </si>
  <si>
    <t>P5</t>
  </si>
  <si>
    <t>主坐标系下坐标</t>
    <phoneticPr fontId="1" type="noConversion"/>
  </si>
  <si>
    <t>工程坐标系下坐标</t>
    <phoneticPr fontId="1" type="noConversion"/>
  </si>
  <si>
    <t>形心坐标系下坐标</t>
    <phoneticPr fontId="1" type="noConversion"/>
  </si>
  <si>
    <t>边缘点</t>
    <phoneticPr fontId="1" type="noConversion"/>
  </si>
  <si>
    <t>xx</t>
    <phoneticPr fontId="1" type="noConversion"/>
  </si>
  <si>
    <t>yy</t>
    <phoneticPr fontId="1" type="noConversion"/>
  </si>
  <si>
    <t>弹性模量</t>
    <phoneticPr fontId="1" type="noConversion"/>
  </si>
  <si>
    <t>剪切模量</t>
    <phoneticPr fontId="1" type="noConversion"/>
  </si>
  <si>
    <t>E</t>
    <phoneticPr fontId="1" type="noConversion"/>
  </si>
  <si>
    <t>G</t>
    <phoneticPr fontId="1" type="noConversion"/>
  </si>
  <si>
    <t>泊松比</t>
    <phoneticPr fontId="1" type="noConversion"/>
  </si>
  <si>
    <t>杆长</t>
    <phoneticPr fontId="1" type="noConversion"/>
  </si>
  <si>
    <t>L</t>
    <phoneticPr fontId="1" type="noConversion"/>
  </si>
  <si>
    <t>MPa</t>
    <phoneticPr fontId="1" type="noConversion"/>
  </si>
  <si>
    <t>kN</t>
    <phoneticPr fontId="1" type="noConversion"/>
  </si>
  <si>
    <t>kN*m</t>
    <phoneticPr fontId="1" type="noConversion"/>
  </si>
  <si>
    <t>υ</t>
    <phoneticPr fontId="1" type="noConversion"/>
  </si>
  <si>
    <t>边界条件</t>
    <phoneticPr fontId="1" type="noConversion"/>
  </si>
  <si>
    <t>两端简支</t>
  </si>
  <si>
    <t>μx</t>
    <phoneticPr fontId="1" type="noConversion"/>
  </si>
  <si>
    <t>μy</t>
    <phoneticPr fontId="1" type="noConversion"/>
  </si>
  <si>
    <t>x轴稳定系数</t>
    <phoneticPr fontId="1" type="noConversion"/>
  </si>
  <si>
    <t>y轴稳定系数</t>
    <phoneticPr fontId="1" type="noConversion"/>
  </si>
  <si>
    <r>
      <t>φ</t>
    </r>
    <r>
      <rPr>
        <vertAlign val="subscript"/>
        <sz val="11"/>
        <color theme="1"/>
        <rFont val="等线"/>
        <family val="3"/>
        <charset val="134"/>
        <scheme val="minor"/>
      </rPr>
      <t>bx</t>
    </r>
    <phoneticPr fontId="1" type="noConversion"/>
  </si>
  <si>
    <r>
      <t>φ</t>
    </r>
    <r>
      <rPr>
        <vertAlign val="subscript"/>
        <sz val="11"/>
        <color theme="1"/>
        <rFont val="等线"/>
        <family val="3"/>
        <charset val="134"/>
        <scheme val="minor"/>
      </rPr>
      <t>by</t>
    </r>
    <phoneticPr fontId="1" type="noConversion"/>
  </si>
  <si>
    <t>fy</t>
    <phoneticPr fontId="1" type="noConversion"/>
  </si>
  <si>
    <t>钢材屈服强度</t>
    <phoneticPr fontId="1" type="noConversion"/>
  </si>
  <si>
    <t>换算长细比</t>
    <phoneticPr fontId="1" type="noConversion"/>
  </si>
  <si>
    <t>λ</t>
    <phoneticPr fontId="1" type="noConversion"/>
  </si>
  <si>
    <t>λx</t>
    <phoneticPr fontId="1" type="noConversion"/>
  </si>
  <si>
    <t>λy</t>
    <phoneticPr fontId="1" type="noConversion"/>
  </si>
  <si>
    <t>λw</t>
    <phoneticPr fontId="1" type="noConversion"/>
  </si>
  <si>
    <t>a</t>
    <phoneticPr fontId="1" type="noConversion"/>
  </si>
  <si>
    <t>长细比计算参数</t>
    <phoneticPr fontId="1" type="noConversion"/>
  </si>
  <si>
    <t>μw</t>
    <phoneticPr fontId="1" type="noConversion"/>
  </si>
  <si>
    <t>z轴计算长度系数</t>
    <phoneticPr fontId="1" type="noConversion"/>
  </si>
  <si>
    <t>x轴计算长度系数</t>
    <phoneticPr fontId="1" type="noConversion"/>
  </si>
  <si>
    <t>y轴计算长度系数</t>
    <phoneticPr fontId="1" type="noConversion"/>
  </si>
  <si>
    <t>轴心受压稳定系数</t>
    <phoneticPr fontId="1" type="noConversion"/>
  </si>
  <si>
    <t>φ</t>
    <phoneticPr fontId="1" type="noConversion"/>
  </si>
  <si>
    <t>查表</t>
    <phoneticPr fontId="1" type="noConversion"/>
  </si>
  <si>
    <t>压弯构件稳定验算</t>
    <phoneticPr fontId="1" type="noConversion"/>
  </si>
  <si>
    <t>钢材设计强度</t>
    <phoneticPr fontId="1" type="noConversion"/>
  </si>
  <si>
    <t>f</t>
    <phoneticPr fontId="1" type="noConversion"/>
  </si>
  <si>
    <t>构件荷载和内力情况</t>
    <phoneticPr fontId="1" type="noConversion"/>
  </si>
  <si>
    <t>无横向荷载作用</t>
  </si>
  <si>
    <t>等效弯矩系数</t>
    <phoneticPr fontId="1" type="noConversion"/>
  </si>
  <si>
    <t>βtx</t>
    <phoneticPr fontId="1" type="noConversion"/>
  </si>
  <si>
    <t>构件顶端绕工程坐标系弯矩设计值</t>
    <phoneticPr fontId="1" type="noConversion"/>
  </si>
  <si>
    <t>构件低端绕工程坐标系弯矩设计值</t>
    <phoneticPr fontId="1" type="noConversion"/>
  </si>
  <si>
    <t>构件顶端绕形心主轴x弯矩设计值</t>
    <phoneticPr fontId="1" type="noConversion"/>
  </si>
  <si>
    <t>MX1</t>
    <phoneticPr fontId="1" type="noConversion"/>
  </si>
  <si>
    <t>MY1</t>
    <phoneticPr fontId="1" type="noConversion"/>
  </si>
  <si>
    <t>MX2</t>
    <phoneticPr fontId="1" type="noConversion"/>
  </si>
  <si>
    <t>MY2</t>
    <phoneticPr fontId="1" type="noConversion"/>
  </si>
  <si>
    <t>Mx1</t>
    <phoneticPr fontId="1" type="noConversion"/>
  </si>
  <si>
    <t>My1</t>
    <phoneticPr fontId="1" type="noConversion"/>
  </si>
  <si>
    <t>Mx2</t>
    <phoneticPr fontId="1" type="noConversion"/>
  </si>
  <si>
    <t>My2</t>
    <phoneticPr fontId="1" type="noConversion"/>
  </si>
  <si>
    <t>构件顶端绕形心主轴y弯矩设计值</t>
    <phoneticPr fontId="1" type="noConversion"/>
  </si>
  <si>
    <t>构件底端绕形心主轴y弯矩设计值</t>
    <phoneticPr fontId="1" type="noConversion"/>
  </si>
  <si>
    <t>构件底端绕形心主轴x弯矩设计值</t>
    <phoneticPr fontId="1" type="noConversion"/>
  </si>
  <si>
    <t>产生同向曲率</t>
    <phoneticPr fontId="1" type="noConversion"/>
  </si>
  <si>
    <t>x向端弯矩与横向荷载</t>
    <phoneticPr fontId="1" type="noConversion"/>
  </si>
  <si>
    <t>y向端弯矩与横向荷载</t>
    <phoneticPr fontId="1" type="noConversion"/>
  </si>
  <si>
    <t>βty</t>
    <phoneticPr fontId="1" type="noConversion"/>
  </si>
  <si>
    <t>代表需要手动填入的计算参数</t>
    <phoneticPr fontId="1" type="noConversion"/>
  </si>
  <si>
    <t>代表需要判断后进行调整的计算参数</t>
    <phoneticPr fontId="1" type="noConversion"/>
  </si>
  <si>
    <t>L型柱稳定性计算表格使用说明：</t>
    <phoneticPr fontId="1" type="noConversion"/>
  </si>
  <si>
    <t>未做特殊注明的位置，单位制为mm。</t>
    <phoneticPr fontId="1" type="noConversion"/>
  </si>
  <si>
    <t>所有计算参数及数据集中在表格A-D列，其余位置为辅助计算的内容，勿动！</t>
    <phoneticPr fontId="1" type="noConversion"/>
  </si>
  <si>
    <t>截面特征及坐标系位置如右图所示。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</si>
</sst>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_ "/>
    <numFmt numFmtId="177" formatCode="0.000E+00"/>
    <numFmt numFmtId="178" formatCode="0.00_);[Red]\(0.00\)"/>
    <numFmt numFmtId="179" formatCode="0.000"/>
    <numFmt numFmtId="180" formatCode="0.0_ "/>
    <numFmt numFmtId="181" formatCode="0.000_);[Red]\(0.000\)"/>
    <numFmt numFmtId="182" formatCode="0.0E+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180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1" fontId="0" fillId="0" borderId="0" xfId="0" applyNumberFormat="1" applyAlignment="1">
      <alignment horizontal="righ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78" fontId="0" fillId="4" borderId="0" xfId="0" applyNumberForma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415636</xdr:colOff>
      <xdr:row>21</xdr:row>
      <xdr:rowOff>129886</xdr:rowOff>
    </xdr:from>
    <xdr:to>
      <xdr:col>18</xdr:col>
      <xdr:colOff>516947</xdr:colOff>
      <xdr:row>50</xdr:row>
      <xdr:rowOff>148936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7CC0D93-2964-41E2-B7D2-10BA3089C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8272" y="3853295"/>
          <a:ext cx="5088948" cy="5145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397329</xdr:colOff>
      <xdr:row>50</xdr:row>
      <xdr:rowOff>107497</xdr:rowOff>
    </xdr:from>
    <xdr:to>
      <xdr:col>15</xdr:col>
      <xdr:colOff>126547</xdr:colOff>
      <xdr:row>56</xdr:row>
      <xdr:rowOff>69397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A001843-7436-4869-8CE4-E83B7510AD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11617" b="58486"/>
        <a:stretch/>
      </xdr:blipFill>
      <xdr:spPr>
        <a:xfrm>
          <a:off x="7512504" y="9299122"/>
          <a:ext cx="5787118" cy="1047750"/>
        </a:xfrm>
        <a:prstGeom prst="rect">
          <a:avLst/>
        </a:prstGeom>
      </xdr:spPr>
    </xdr:pic>
    <xdr:clientData/>
  </xdr:twoCellAnchor>
  <xdr:twoCellAnchor editAs="oneCell">
    <xdr:from>
      <xdr:col>7</xdr:col>
      <xdr:colOff>406854</xdr:colOff>
      <xdr:row>55</xdr:row>
      <xdr:rowOff>117022</xdr:rowOff>
    </xdr:from>
    <xdr:to>
      <xdr:col>15</xdr:col>
      <xdr:colOff>266701</xdr:colOff>
      <xdr:row>60</xdr:row>
      <xdr:rowOff>40506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6416E7D-72D6-4874-917C-CE97B8E3A3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64159" r="9672"/>
        <a:stretch/>
      </xdr:blipFill>
      <xdr:spPr>
        <a:xfrm>
          <a:off x="7522029" y="10213522"/>
          <a:ext cx="5917747" cy="904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136070</xdr:rowOff>
    </xdr:from>
    <xdr:to>
      <xdr:col>4</xdr:col>
      <xdr:colOff>1027337</xdr:colOff>
      <xdr:row>74</xdr:row>
      <xdr:rowOff>49438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67BC0DE-AE17-4AC8-9057-3C0E66DB6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0" y="12391570"/>
          <a:ext cx="11122474" cy="980168"/>
        </a:xfrm>
        <a:prstGeom prst="rect">
          <a:avLst/>
        </a:prstGeom>
      </xdr:spPr>
    </xdr:pic>
    <xdr:clientData/>
  </xdr:twoCellAnchor>
  <xdr:twoCellAnchor editAs="oneCell">
    <xdr:from>
      <xdr:col>7</xdr:col>
      <xdr:colOff>436574</xdr:colOff>
      <xdr:row>60</xdr:row>
      <xdr:rowOff>174942</xdr:rowOff>
    </xdr:from>
    <xdr:to>
      <xdr:col>15</xdr:col>
      <xdr:colOff>103415</xdr:colOff>
      <xdr:row>65</xdr:row>
      <xdr:rowOff>143651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1EE38DC-BB20-4F5E-97CE-68A7673A4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551749" y="11252517"/>
          <a:ext cx="5724741" cy="873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494891</xdr:colOff>
      <xdr:row>10</xdr:row>
      <xdr:rowOff>161925</xdr:rowOff>
    </xdr:from>
    <xdr:to>
      <xdr:col>23</xdr:col>
      <xdr:colOff>161926</xdr:colOff>
      <xdr:row>36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B1003CE-60AD-4FF8-A0BB-3ACBA5D11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5266" y="2038350"/>
          <a:ext cx="5239160" cy="455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142875</xdr:colOff>
      <xdr:row>12</xdr:row>
      <xdr:rowOff>152400</xdr:rowOff>
    </xdr:from>
    <xdr:to>
      <xdr:col>20</xdr:col>
      <xdr:colOff>342900</xdr:colOff>
      <xdr:row>33</xdr:row>
      <xdr:rowOff>66675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FD2CA5E-50E6-4F63-BDF0-01CA23DD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5675" y="2390775"/>
          <a:ext cx="3552825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FAA5-8798-428D-AB90-6D2017BFC2A8}">
  <dimension ref="A1:W67"/>
  <sheetViews>
    <sheetView showFormulas="1" tabSelected="1" zoomScaleNormal="100" workbookViewId="0">
      <selection activeCell="E81" sqref="E81"/>
    </sheetView>
  </sheetViews>
  <sheetFormatPr defaultRowHeight="14" x14ac:dyDescent="0.3"/>
  <cols>
    <col min="1" max="1" width="29.33203125" customWidth="1"/>
    <col min="3" max="3" width="12.83203125" style="8" customWidth="1"/>
    <col min="5" max="5" width="18.08203125" bestFit="1" customWidth="1"/>
    <col min="6" max="9" width="7.75" customWidth="1"/>
    <col min="11" max="18" width="11" customWidth="1"/>
    <col min="19" max="19" width="8.25" customWidth="1"/>
    <col min="20" max="21" width="11" customWidth="1"/>
  </cols>
  <sheetData>
    <row r="1" spans="1:23" ht="16.5" x14ac:dyDescent="0.3">
      <c r="A1" t="s">
        <v>62</v>
      </c>
      <c r="B1" s="1" t="s">
        <v>0</v>
      </c>
      <c r="C1" s="8" t="s">
        <v>132</v>
      </c>
      <c r="D1" s="1"/>
      <c r="E1" s="30" t="s">
        <v>20</v>
      </c>
      <c r="F1" s="30" t="s">
        <v>25</v>
      </c>
      <c r="G1" s="30"/>
      <c r="H1" s="30" t="s">
        <v>26</v>
      </c>
      <c r="I1" s="30"/>
      <c r="J1" s="31" t="s">
        <v>27</v>
      </c>
      <c r="K1" s="30" t="s">
        <v>28</v>
      </c>
      <c r="L1" s="30"/>
      <c r="M1" s="30"/>
      <c r="N1" s="30"/>
      <c r="O1" s="30"/>
      <c r="P1" s="30"/>
      <c r="Q1" s="30"/>
      <c r="R1" s="30"/>
      <c r="S1" s="30" t="s">
        <v>34</v>
      </c>
      <c r="T1" s="30" t="s">
        <v>35</v>
      </c>
      <c r="U1" s="30"/>
    </row>
    <row r="2" spans="1:23" ht="16" x14ac:dyDescent="0.3">
      <c r="A2" s="23" t="s">
        <v>63</v>
      </c>
      <c r="B2" s="24" t="s">
        <v>2</v>
      </c>
      <c r="C2" s="25">
        <v>400</v>
      </c>
      <c r="D2" s="1"/>
      <c r="E2" s="30"/>
      <c r="F2" s="1" t="s">
        <v>48</v>
      </c>
      <c r="G2" s="1" t="s">
        <v>49</v>
      </c>
      <c r="H2" s="1" t="s">
        <v>48</v>
      </c>
      <c r="I2" s="1" t="s">
        <v>49</v>
      </c>
      <c r="J2" s="30"/>
      <c r="K2" s="1" t="s">
        <v>23</v>
      </c>
      <c r="L2" s="1" t="s">
        <v>24</v>
      </c>
      <c r="M2" s="1" t="s">
        <v>50</v>
      </c>
      <c r="N2" s="1" t="s">
        <v>51</v>
      </c>
      <c r="O2" s="1" t="s">
        <v>32</v>
      </c>
      <c r="P2" s="1" t="s">
        <v>52</v>
      </c>
      <c r="Q2" s="1" t="s">
        <v>53</v>
      </c>
      <c r="R2" s="1" t="s">
        <v>54</v>
      </c>
      <c r="S2" s="30"/>
      <c r="T2" s="30" t="s">
        <v>36</v>
      </c>
      <c r="U2" s="30" t="s">
        <v>37</v>
      </c>
      <c r="V2" s="30"/>
      <c r="W2" s="1"/>
    </row>
    <row r="3" spans="1:23" x14ac:dyDescent="0.3">
      <c r="A3" s="23" t="s">
        <v>64</v>
      </c>
      <c r="B3" s="24" t="s">
        <v>3</v>
      </c>
      <c r="C3" s="25">
        <v>400</v>
      </c>
      <c r="D3" s="1"/>
      <c r="E3" s="1">
        <v>1</v>
      </c>
      <c r="F3" s="1">
        <f>C5</f>
        <v>10</v>
      </c>
      <c r="G3" s="1">
        <f>C4</f>
        <v>170</v>
      </c>
      <c r="H3" s="1">
        <f>-C4/2+C5/2</f>
        <v>-80</v>
      </c>
      <c r="I3" s="1">
        <v>0</v>
      </c>
      <c r="J3" s="1">
        <f>F3*G3</f>
        <v>1700</v>
      </c>
      <c r="K3" s="6">
        <f>F3*G3^3/12</f>
        <v>4094166.6666666665</v>
      </c>
      <c r="L3" s="6">
        <f>F3^3*G3/12</f>
        <v>14166.666666666666</v>
      </c>
      <c r="M3" s="6">
        <f>K3+I3^2*J3</f>
        <v>4094166.6666666665</v>
      </c>
      <c r="N3" s="6">
        <f>L3+H3^2*J3</f>
        <v>10894166.666666666</v>
      </c>
      <c r="O3" s="6">
        <v>0</v>
      </c>
      <c r="P3" s="6">
        <f>K3+(I3-$I$8)^2*J3</f>
        <v>27475277.384883743</v>
      </c>
      <c r="Q3" s="6">
        <f>L3+(H3-$H$8)^2*J3</f>
        <v>36850318.506663956</v>
      </c>
      <c r="R3" s="6">
        <f>O3+H3*I3*J3</f>
        <v>0</v>
      </c>
      <c r="S3" s="30"/>
      <c r="T3" s="30"/>
      <c r="U3" s="30"/>
      <c r="V3" s="30"/>
      <c r="W3" s="1"/>
    </row>
    <row r="4" spans="1:23" x14ac:dyDescent="0.3">
      <c r="A4" s="23" t="s">
        <v>65</v>
      </c>
      <c r="B4" s="24" t="s">
        <v>55</v>
      </c>
      <c r="C4" s="25">
        <v>170</v>
      </c>
      <c r="D4" s="1"/>
      <c r="E4" s="1">
        <v>2</v>
      </c>
      <c r="F4" s="1">
        <f>C5</f>
        <v>10</v>
      </c>
      <c r="G4" s="1">
        <f>C4</f>
        <v>170</v>
      </c>
      <c r="H4" s="1">
        <f>C2-C4/2-C5/2</f>
        <v>310</v>
      </c>
      <c r="I4" s="1">
        <v>0</v>
      </c>
      <c r="J4" s="1">
        <f t="shared" ref="J4:J7" si="0">F4*G4</f>
        <v>1700</v>
      </c>
      <c r="K4" s="6">
        <f t="shared" ref="K4:K7" si="1">F4*G4^3/12</f>
        <v>4094166.6666666665</v>
      </c>
      <c r="L4" s="6">
        <f t="shared" ref="L4:L7" si="2">F4^3*G4/12</f>
        <v>14166.666666666666</v>
      </c>
      <c r="M4" s="6">
        <f t="shared" ref="M4:M7" si="3">K4+I4^2*J4</f>
        <v>4094166.6666666665</v>
      </c>
      <c r="N4" s="6">
        <f t="shared" ref="N4:N7" si="4">L4+H4^2*J4</f>
        <v>163384166.66666666</v>
      </c>
      <c r="O4" s="6">
        <v>0</v>
      </c>
      <c r="P4" s="6">
        <f t="shared" ref="P4:P7" si="5">K4+(I4-$I$8)^2*J4</f>
        <v>27475277.384883743</v>
      </c>
      <c r="Q4" s="6">
        <f t="shared" ref="Q4:Q7" si="6">L4+(H4-$H$8)^2*J4</f>
        <v>100230935.79061459</v>
      </c>
      <c r="R4" s="6">
        <f t="shared" ref="R4:R7" si="7">O4+H4*I4*J4</f>
        <v>0</v>
      </c>
      <c r="S4" s="30"/>
      <c r="T4" s="30"/>
      <c r="U4" s="30"/>
      <c r="V4" s="30"/>
      <c r="W4" s="1"/>
    </row>
    <row r="5" spans="1:23" x14ac:dyDescent="0.3">
      <c r="A5" s="23" t="s">
        <v>66</v>
      </c>
      <c r="B5" s="24" t="s">
        <v>6</v>
      </c>
      <c r="C5" s="25">
        <v>10</v>
      </c>
      <c r="D5" s="1"/>
      <c r="E5" s="1">
        <v>3</v>
      </c>
      <c r="F5" s="1">
        <f>C2-C5*2</f>
        <v>380</v>
      </c>
      <c r="G5" s="1">
        <f>C6</f>
        <v>6</v>
      </c>
      <c r="H5" s="1">
        <f>C2-C4/2-C2/2</f>
        <v>115</v>
      </c>
      <c r="I5" s="1">
        <v>0</v>
      </c>
      <c r="J5" s="1">
        <f t="shared" si="0"/>
        <v>2280</v>
      </c>
      <c r="K5" s="6">
        <f t="shared" si="1"/>
        <v>6840</v>
      </c>
      <c r="L5" s="6">
        <f t="shared" si="2"/>
        <v>27436000</v>
      </c>
      <c r="M5" s="6">
        <f t="shared" si="3"/>
        <v>6840</v>
      </c>
      <c r="N5" s="6">
        <f t="shared" si="4"/>
        <v>57589000</v>
      </c>
      <c r="O5" s="6">
        <v>0</v>
      </c>
      <c r="P5" s="6">
        <f t="shared" si="5"/>
        <v>31365035.551491138</v>
      </c>
      <c r="Q5" s="6">
        <f t="shared" si="6"/>
        <v>32645076.41111619</v>
      </c>
      <c r="R5" s="6">
        <f t="shared" si="7"/>
        <v>0</v>
      </c>
      <c r="S5" s="30"/>
      <c r="T5" s="30"/>
      <c r="U5" s="30"/>
      <c r="V5" s="30"/>
      <c r="W5" s="1"/>
    </row>
    <row r="6" spans="1:23" x14ac:dyDescent="0.3">
      <c r="A6" s="23" t="s">
        <v>67</v>
      </c>
      <c r="B6" s="24" t="s">
        <v>7</v>
      </c>
      <c r="C6" s="25">
        <v>6</v>
      </c>
      <c r="D6" s="1"/>
      <c r="E6" s="1">
        <v>4</v>
      </c>
      <c r="F6" s="1">
        <f>C6</f>
        <v>6</v>
      </c>
      <c r="G6" s="1">
        <f>C3-C5</f>
        <v>390</v>
      </c>
      <c r="H6" s="1">
        <v>0</v>
      </c>
      <c r="I6" s="1">
        <f>(C3-C5)/2+C6/2</f>
        <v>198</v>
      </c>
      <c r="J6" s="1">
        <f t="shared" si="0"/>
        <v>2340</v>
      </c>
      <c r="K6" s="6">
        <f t="shared" si="1"/>
        <v>29659500</v>
      </c>
      <c r="L6" s="6">
        <f t="shared" si="2"/>
        <v>7020</v>
      </c>
      <c r="M6" s="6">
        <f t="shared" si="3"/>
        <v>121396860</v>
      </c>
      <c r="N6" s="6">
        <f t="shared" si="4"/>
        <v>7020</v>
      </c>
      <c r="O6" s="6">
        <v>0</v>
      </c>
      <c r="P6" s="6">
        <f t="shared" si="5"/>
        <v>44907897.890565462</v>
      </c>
      <c r="Q6" s="6">
        <f t="shared" si="6"/>
        <v>10574603.295229385</v>
      </c>
      <c r="R6" s="6">
        <f t="shared" si="7"/>
        <v>0</v>
      </c>
      <c r="S6" s="30"/>
      <c r="T6" s="30"/>
      <c r="U6" s="30"/>
      <c r="V6" s="30"/>
      <c r="W6" s="1"/>
    </row>
    <row r="7" spans="1:23" x14ac:dyDescent="0.3">
      <c r="A7" t="s">
        <v>114</v>
      </c>
      <c r="B7" s="1" t="s">
        <v>115</v>
      </c>
      <c r="C7" s="8">
        <f>J8</f>
        <v>9720</v>
      </c>
      <c r="D7" s="1"/>
      <c r="E7" s="1">
        <v>5</v>
      </c>
      <c r="F7" s="1">
        <f>C4</f>
        <v>170</v>
      </c>
      <c r="G7" s="1">
        <f>C5</f>
        <v>10</v>
      </c>
      <c r="H7" s="1">
        <v>0</v>
      </c>
      <c r="I7" s="1">
        <f>C3-C5/2+C6/2</f>
        <v>398</v>
      </c>
      <c r="J7" s="1">
        <f t="shared" si="0"/>
        <v>1700</v>
      </c>
      <c r="K7" s="6">
        <f t="shared" si="1"/>
        <v>14166.666666666666</v>
      </c>
      <c r="L7" s="6">
        <f t="shared" si="2"/>
        <v>4094166.6666666665</v>
      </c>
      <c r="M7" s="6">
        <f t="shared" si="3"/>
        <v>269300966.66666669</v>
      </c>
      <c r="N7" s="6">
        <f t="shared" si="4"/>
        <v>4094166.6666666665</v>
      </c>
      <c r="O7" s="6">
        <v>0</v>
      </c>
      <c r="P7" s="6">
        <f t="shared" si="5"/>
        <v>133984572.85813475</v>
      </c>
      <c r="Q7" s="6">
        <f t="shared" si="6"/>
        <v>11771470.770038443</v>
      </c>
      <c r="R7" s="6">
        <f t="shared" si="7"/>
        <v>0</v>
      </c>
      <c r="S7" s="30"/>
      <c r="T7" s="30"/>
      <c r="U7" s="30"/>
      <c r="V7" s="30"/>
      <c r="W7" s="1"/>
    </row>
    <row r="8" spans="1:23" x14ac:dyDescent="0.3">
      <c r="A8" t="s">
        <v>74</v>
      </c>
      <c r="B8" s="1" t="s">
        <v>76</v>
      </c>
      <c r="C8" s="9">
        <f>H8</f>
        <v>67.201646090534979</v>
      </c>
      <c r="D8" s="1"/>
      <c r="E8" s="1" t="s">
        <v>56</v>
      </c>
      <c r="F8" s="1">
        <f>C2</f>
        <v>400</v>
      </c>
      <c r="G8" s="1">
        <f>C3+C4/2+C6/2</f>
        <v>488</v>
      </c>
      <c r="H8" s="3">
        <f>(H3*J3+H4*J4+H5*J5+H6*J6+H7*J7)/J8</f>
        <v>67.201646090534979</v>
      </c>
      <c r="I8" s="3">
        <f>(I3*J3+I4*J4+I5*J5+I6*J6+I7*J7)/J8</f>
        <v>117.27572016460906</v>
      </c>
      <c r="J8" s="1">
        <f>SUM(J3:J7)</f>
        <v>9720</v>
      </c>
      <c r="K8" s="1" t="s">
        <v>29</v>
      </c>
      <c r="L8" s="1" t="s">
        <v>29</v>
      </c>
      <c r="M8" s="6">
        <f>SUM(M3:M7)</f>
        <v>398893000</v>
      </c>
      <c r="N8" s="6">
        <f>SUM(N3:N7)</f>
        <v>235968519.99999997</v>
      </c>
      <c r="O8" s="6">
        <f>SUM(O3:O7)</f>
        <v>0</v>
      </c>
      <c r="P8" s="6">
        <f t="shared" ref="P8:Q8" si="8">SUM(P3:P7)</f>
        <v>265208061.06995884</v>
      </c>
      <c r="Q8" s="6">
        <f t="shared" si="8"/>
        <v>192072404.77366257</v>
      </c>
      <c r="R8" s="6">
        <f>O8-H8*I8*J8</f>
        <v>-76604500.411522627</v>
      </c>
      <c r="S8" s="1">
        <f>(ATAN(-2*R8/(P8-Q8))/2)/PI()*180</f>
        <v>32.241057818937442</v>
      </c>
      <c r="T8" s="6">
        <f>(P8+Q8)/2+0.5*((P8-Q8)^2+4*R8^2)^0.5</f>
        <v>313525187.64743602</v>
      </c>
      <c r="U8" s="6">
        <f>(P8+Q8)/2-0.5*((P8-Q8)^2+4*R8^2)^0.5</f>
        <v>143755278.19618535</v>
      </c>
      <c r="V8" s="1"/>
      <c r="W8" s="1"/>
    </row>
    <row r="9" spans="1:23" x14ac:dyDescent="0.3">
      <c r="A9" t="s">
        <v>75</v>
      </c>
      <c r="B9" s="1" t="s">
        <v>77</v>
      </c>
      <c r="C9" s="9">
        <f>I8</f>
        <v>117.27572016460906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4"/>
      <c r="S9" s="1"/>
      <c r="T9" s="1"/>
      <c r="U9" s="1"/>
      <c r="V9" s="1"/>
      <c r="W9" s="1"/>
    </row>
    <row r="10" spans="1:23" x14ac:dyDescent="0.3">
      <c r="A10" t="s">
        <v>68</v>
      </c>
      <c r="B10" s="1" t="s">
        <v>58</v>
      </c>
      <c r="C10" s="10">
        <f>P8</f>
        <v>265208061.06995884</v>
      </c>
      <c r="D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t="s">
        <v>69</v>
      </c>
      <c r="B11" s="1" t="s">
        <v>59</v>
      </c>
      <c r="C11" s="10">
        <f>Q8</f>
        <v>192072404.77366257</v>
      </c>
      <c r="D11" s="1"/>
      <c r="E11" s="1"/>
      <c r="F11" s="30" t="s">
        <v>79</v>
      </c>
      <c r="G11" s="3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t="s">
        <v>70</v>
      </c>
      <c r="B12" s="1" t="s">
        <v>71</v>
      </c>
      <c r="C12" s="10">
        <f>R8</f>
        <v>-76604500.411522627</v>
      </c>
      <c r="D12" s="1"/>
      <c r="E12" s="1" t="s">
        <v>78</v>
      </c>
      <c r="F12" s="1" t="s">
        <v>12</v>
      </c>
      <c r="G12" s="1" t="s">
        <v>13</v>
      </c>
      <c r="H12" s="1" t="s">
        <v>102</v>
      </c>
      <c r="I12" s="1" t="s">
        <v>103</v>
      </c>
      <c r="K12" s="1" t="s">
        <v>86</v>
      </c>
      <c r="L12" s="1" t="s">
        <v>87</v>
      </c>
      <c r="M12" s="1"/>
      <c r="N12" s="1" t="s">
        <v>86</v>
      </c>
      <c r="O12" s="1" t="s">
        <v>87</v>
      </c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t="s">
        <v>120</v>
      </c>
      <c r="B13" s="1" t="s">
        <v>124</v>
      </c>
      <c r="C13" s="10">
        <f>T8</f>
        <v>313525187.64743602</v>
      </c>
      <c r="D13" s="1"/>
      <c r="E13" s="1">
        <v>1</v>
      </c>
      <c r="F13" s="1">
        <f>-C4/2-C8</f>
        <v>-152.20164609053498</v>
      </c>
      <c r="G13" s="1">
        <f>C3+C6/2-C5/2-C9</f>
        <v>280.72427983539092</v>
      </c>
      <c r="H13" s="1">
        <f>L19*(C3+C6/2-C5/2)-(C3+C6/2-C5/2-L20)*C4/2</f>
        <v>-32656.16679178608</v>
      </c>
      <c r="I13" s="14">
        <f t="shared" ref="I13:I22" si="9">H13-$L$21</f>
        <v>-32261.047874038497</v>
      </c>
      <c r="K13" s="1" t="s">
        <v>80</v>
      </c>
      <c r="L13" s="9">
        <f>-(C3+C6/2-C5/2)</f>
        <v>-398</v>
      </c>
      <c r="M13" s="1"/>
      <c r="N13" s="1" t="s">
        <v>104</v>
      </c>
      <c r="O13" s="9">
        <f>C3+C6/2-C5/2-C23</f>
        <v>390.01224030165037</v>
      </c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t="s">
        <v>121</v>
      </c>
      <c r="B14" s="1" t="s">
        <v>125</v>
      </c>
      <c r="C14" s="10">
        <f>U8</f>
        <v>143755278.19618535</v>
      </c>
      <c r="D14" s="1"/>
      <c r="E14" s="1">
        <v>2</v>
      </c>
      <c r="F14" s="1">
        <f>C4/2-C8</f>
        <v>17.798353909465021</v>
      </c>
      <c r="G14" s="1">
        <f>C3+C6/2-C5/2-C9</f>
        <v>280.72427983539092</v>
      </c>
      <c r="H14" s="1">
        <f>L19*(C3+C6/2-C5/2)+(C3+C6/2-C5/2-L20)*C4/2</f>
        <v>33645.914059494491</v>
      </c>
      <c r="I14" s="14">
        <f t="shared" si="9"/>
        <v>34041.032977242074</v>
      </c>
      <c r="K14" s="1" t="s">
        <v>81</v>
      </c>
      <c r="L14" s="9">
        <f>C3+C6/2-C5/2</f>
        <v>398</v>
      </c>
      <c r="M14" s="1"/>
      <c r="N14" s="1" t="s">
        <v>105</v>
      </c>
      <c r="O14" s="9">
        <f>-(C3+C6/2-C5/2-C23)</f>
        <v>-390.01224030165037</v>
      </c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t="s">
        <v>122</v>
      </c>
      <c r="B15" s="1" t="s">
        <v>123</v>
      </c>
      <c r="C15" s="8">
        <v>0</v>
      </c>
      <c r="D15" s="1"/>
      <c r="E15" s="1">
        <v>3</v>
      </c>
      <c r="F15" s="3">
        <f>-C8</f>
        <v>-67.201646090534979</v>
      </c>
      <c r="G15" s="1">
        <f>C3+C6/2-C5/2-C9</f>
        <v>280.72427983539092</v>
      </c>
      <c r="H15" s="1">
        <f>L19*(C3+C6/2-C5/2)</f>
        <v>494.87363385420571</v>
      </c>
      <c r="I15" s="14">
        <f t="shared" si="9"/>
        <v>889.99255160178927</v>
      </c>
      <c r="K15" s="1" t="s">
        <v>82</v>
      </c>
      <c r="L15" s="9">
        <f>C4/2-C5/2</f>
        <v>80</v>
      </c>
      <c r="M15" s="1"/>
      <c r="N15" s="1" t="s">
        <v>106</v>
      </c>
      <c r="O15" s="9">
        <f>C23</f>
        <v>7.9877596983496204</v>
      </c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t="s">
        <v>94</v>
      </c>
      <c r="B16" s="1" t="s">
        <v>95</v>
      </c>
      <c r="C16" s="11">
        <f>(ATAN(-2*R8/(P8-Q8))/2)</f>
        <v>0.56271261326632016</v>
      </c>
      <c r="E16" s="1">
        <v>4</v>
      </c>
      <c r="F16" s="1">
        <v>0</v>
      </c>
      <c r="G16" s="1">
        <v>0</v>
      </c>
      <c r="H16" s="1">
        <v>0</v>
      </c>
      <c r="I16" s="14">
        <f t="shared" si="9"/>
        <v>395.11891774758362</v>
      </c>
      <c r="K16" s="1" t="s">
        <v>83</v>
      </c>
      <c r="L16" s="9">
        <f>-C4/2+C5/2</f>
        <v>-80</v>
      </c>
      <c r="N16" s="1" t="s">
        <v>107</v>
      </c>
      <c r="O16" s="9">
        <f>-C22</f>
        <v>-1.243401090085944</v>
      </c>
    </row>
    <row r="17" spans="1:15" x14ac:dyDescent="0.3">
      <c r="A17" t="s">
        <v>96</v>
      </c>
      <c r="B17" s="1" t="s">
        <v>95</v>
      </c>
      <c r="C17" s="9">
        <f>(ATAN(-2*R8/(P8-Q8))/2)/PI()*180</f>
        <v>32.241057818937442</v>
      </c>
      <c r="E17" s="1">
        <v>5</v>
      </c>
      <c r="F17" s="1">
        <f>-C4/2+C5/2-C8</f>
        <v>-147.20164609053498</v>
      </c>
      <c r="G17" s="1">
        <f>C4/2-C9</f>
        <v>-32.275720164609055</v>
      </c>
      <c r="H17" s="1">
        <f>L20*(C4/2-C5/2)+(C4/2-C5/2+L19)*C4/2</f>
        <v>7544.7098685252749</v>
      </c>
      <c r="I17" s="14">
        <f t="shared" si="9"/>
        <v>7939.8287862728585</v>
      </c>
      <c r="K17" s="1" t="s">
        <v>84</v>
      </c>
      <c r="L17" s="9">
        <f>-C2+C4/2+C5/2</f>
        <v>-310</v>
      </c>
      <c r="N17" s="1" t="s">
        <v>108</v>
      </c>
      <c r="O17" s="9">
        <f>-C23</f>
        <v>-7.9877596983496204</v>
      </c>
    </row>
    <row r="18" spans="1:15" x14ac:dyDescent="0.3">
      <c r="A18" t="s">
        <v>60</v>
      </c>
      <c r="B18" s="1" t="s">
        <v>61</v>
      </c>
      <c r="C18" s="9">
        <f>(C4*C5^3*3+(C2-C5*2)*C6^3+(C3-C5)*C6^3)/3</f>
        <v>225440</v>
      </c>
      <c r="E18" s="1">
        <v>6</v>
      </c>
      <c r="F18" s="1">
        <f>-C4/2+C5/2-C8</f>
        <v>-147.20164609053498</v>
      </c>
      <c r="G18" s="1">
        <f>-C4/2-C9</f>
        <v>-202.27572016460906</v>
      </c>
      <c r="H18" s="1">
        <f>L20*(C4/2-C5/2)-(C4/2-C5/2+L19)*C4/2</f>
        <v>-6266.6683167893352</v>
      </c>
      <c r="I18" s="14">
        <f t="shared" si="9"/>
        <v>-5871.5493990417517</v>
      </c>
      <c r="K18" s="1" t="s">
        <v>85</v>
      </c>
      <c r="L18" s="9">
        <f>C2-C4/2-C5/2</f>
        <v>310</v>
      </c>
      <c r="N18" s="1" t="s">
        <v>109</v>
      </c>
      <c r="O18" s="9">
        <f>-(C4/2-C5/2+C22)</f>
        <v>-81.243401090085939</v>
      </c>
    </row>
    <row r="19" spans="1:15" x14ac:dyDescent="0.3">
      <c r="A19" t="s">
        <v>72</v>
      </c>
      <c r="B19" s="1" t="s">
        <v>14</v>
      </c>
      <c r="C19" s="11">
        <f>C10*C11/(C10*C11-C12^2)</f>
        <v>1.1302004044484244</v>
      </c>
      <c r="E19" s="1">
        <v>7</v>
      </c>
      <c r="F19" s="1">
        <f>-C4/2+C5/2-C8</f>
        <v>-147.20164609053498</v>
      </c>
      <c r="G19" s="3">
        <f>-C9</f>
        <v>-117.27572016460906</v>
      </c>
      <c r="H19" s="1">
        <f>L20*(C4/2-C5/2)</f>
        <v>639.02077586796963</v>
      </c>
      <c r="I19" s="14">
        <f t="shared" si="9"/>
        <v>1034.1396936155534</v>
      </c>
      <c r="K19" s="1" t="s">
        <v>88</v>
      </c>
      <c r="L19" s="11">
        <f>C4^2*C5*((-C19*(2*G13+G15)+C21*(2*F13+F15))*L13+(-C19*(2*G14+G15)+C21*(2*F14+F15))*L14+(-C19*(2*G17+G19)+C21*(2*F17+F19))*L15+(-C19*(2*G18+G19)+C21*(2*F18+F19))*L16+(-C19*(2*G20+G22)+C21*(2*F20+F22))*L17+(-C19*(2*G21+G22)+C21*(2*F21+F22))*L18)/(24*C10)</f>
        <v>1.243401090085944</v>
      </c>
      <c r="N19" s="1" t="s">
        <v>110</v>
      </c>
      <c r="O19" s="9">
        <f>C4/2-C5/2+C22</f>
        <v>81.243401090085939</v>
      </c>
    </row>
    <row r="20" spans="1:15" x14ac:dyDescent="0.3">
      <c r="A20" t="s">
        <v>72</v>
      </c>
      <c r="B20" s="1" t="s">
        <v>57</v>
      </c>
      <c r="C20" s="11">
        <f>C19*C12/C10</f>
        <v>-0.32645477289935759</v>
      </c>
      <c r="E20" s="1">
        <v>8</v>
      </c>
      <c r="F20" s="1">
        <f>C2-C4/2-C5/2-C8</f>
        <v>242.79835390946502</v>
      </c>
      <c r="G20" s="1">
        <f>C4/2-C9</f>
        <v>-32.275720164609055</v>
      </c>
      <c r="H20" s="1">
        <f>-L20*(C2-C4/2-C5/2)-(C2-C4/2-C5/2-L19)*C4/2</f>
        <v>-28720.516413831076</v>
      </c>
      <c r="I20" s="14">
        <f t="shared" si="9"/>
        <v>-28325.397496083493</v>
      </c>
      <c r="K20" s="1" t="s">
        <v>89</v>
      </c>
      <c r="L20" s="11">
        <f>-1*C4^2*C5*((-C19*(2*F13+F15)+C20*(2*G13+G15))*L13+(-C19*(2*F14+F15)+C20*(2*G14+G15))*L14+(-C19*(2*F17+F19)+C20*(2*G17+G19))*L15+(-C19*(2*F18+F19)+C20*(2*G18+G19))*L16+(-C19*(2*F20+F22)+C20*(2*G20+G22))*L17+(-C19*(2*F21+F22)+C20*(2*G21+G22))*L18)/(24*C11)</f>
        <v>7.9877596983496204</v>
      </c>
      <c r="N20" s="1" t="s">
        <v>112</v>
      </c>
      <c r="O20" s="9">
        <f>C2-C4/2-C5/2-C22</f>
        <v>308.75659890991403</v>
      </c>
    </row>
    <row r="21" spans="1:15" x14ac:dyDescent="0.3">
      <c r="A21" t="s">
        <v>72</v>
      </c>
      <c r="B21" s="1" t="s">
        <v>73</v>
      </c>
      <c r="C21" s="11">
        <f>C19*C12/C11</f>
        <v>-0.45075937613055916</v>
      </c>
      <c r="E21" s="1">
        <v>9</v>
      </c>
      <c r="F21" s="1">
        <f>C2-C4/2-C5/2-C8</f>
        <v>242.79835390946502</v>
      </c>
      <c r="G21" s="1">
        <f>-C4/2-C9</f>
        <v>-202.27572016460906</v>
      </c>
      <c r="H21" s="1">
        <f>-L20*(C2-C4/2-C5/2)+(C2-C4/2-C5/2-L19)*C4/2</f>
        <v>23768.105400854311</v>
      </c>
      <c r="I21" s="14">
        <f t="shared" si="9"/>
        <v>24163.224318601893</v>
      </c>
      <c r="K21" s="6" t="s">
        <v>113</v>
      </c>
      <c r="L21" s="12">
        <f>(C5*(H13+H14)*C4/2+C5*(H17+H18)*C4/2+C5*(H20+H21)*C4/2+C6*(H15+H16)*(C3-C5/2+C6/2)/2+C6*(H19+H22)*(C2-C5)/2)/C7</f>
        <v>-395.11891774758362</v>
      </c>
      <c r="N21" s="1" t="s">
        <v>111</v>
      </c>
      <c r="O21" s="9">
        <f>-(C2-C4/2-C5/2-C22)</f>
        <v>-308.75659890991403</v>
      </c>
    </row>
    <row r="22" spans="1:15" x14ac:dyDescent="0.3">
      <c r="A22" t="s">
        <v>90</v>
      </c>
      <c r="B22" s="1" t="s">
        <v>91</v>
      </c>
      <c r="C22" s="11">
        <f>L19</f>
        <v>1.243401090085944</v>
      </c>
      <c r="E22" s="1">
        <v>10</v>
      </c>
      <c r="F22" s="1">
        <f>C2-C4/2-C5/2-C8</f>
        <v>242.79835390946502</v>
      </c>
      <c r="G22" s="3">
        <f>-C9</f>
        <v>-117.27572016460906</v>
      </c>
      <c r="H22" s="1">
        <f>-L20*(C2-C4/2-C5/2)</f>
        <v>-2476.2055064883825</v>
      </c>
      <c r="I22" s="14">
        <f t="shared" si="9"/>
        <v>-2081.086588740799</v>
      </c>
      <c r="K22" s="1" t="s">
        <v>127</v>
      </c>
      <c r="L22" s="7">
        <f>C5*((F14^4*COS(C16)/4+F14^3*G14*SIN(C16)/3+F14^2*G14^2*COS(C16)/2+F14*G14^3*SIN(C16))-(F13^4*COS(C16)/4+F13^3*G14*SIN(C16)/3+F13^2*G14^2*COS(C16)/2+F13*G14^3*SIN(C16)))+C6*((F22^4*COS(C16)/4+F22^3*G19*SIN(C16)/3+F22^2*G19^2*COS(C16)/2+F22*G19^3*SIN(C16))-(F19^4*COS(C16)/4+F19^3*G19*SIN(C16)/3+F19^2*G19^2*COS(C16)/2+F19*G19^3*SIN(C16)))+C6*((F15^3*G15*COS(C16)+F15^2*G15^2*SIN(C16)/2+F15*G15^3*COS(C16)/3+G15^4*SIN(C16)/4)-(F15^3*G16*COS(C16)+F15^2*G16^2*SIN(C16)/2+F15*G16^3*COS(C16)/3+G16^4*SIN(C16)/4))+C5*((F17^3*G17*COS(C16)+F17^2*G17^2*SIN(C16)/2+F17*G17^3*COS(C16)/3+G17^4*SIN(C16)/4)-(F17^3*G18*COS(C16)+F17^2*G18^2*SIN(C16)/2+F17*G18^3*COS(C16)/3+G18^4*SIN(C16)/4))+C5*((F20^3*G20*COS(C16)+F20^2*G20^2*SIN(C16)/2+F20*G20^3*COS(C16)/3+G20^4*SIN(C16)/4)-(F20^3*G21*COS(C16)+F20^2*G21^2*SIN(C16)/2+F20*G21^3*COS(C16)/3+G21^4*SIN(C16)/4))</f>
        <v>21758780903.894287</v>
      </c>
    </row>
    <row r="23" spans="1:15" x14ac:dyDescent="0.3">
      <c r="A23" t="s">
        <v>90</v>
      </c>
      <c r="B23" s="1" t="s">
        <v>92</v>
      </c>
      <c r="C23" s="11">
        <f>L20</f>
        <v>7.9877596983496204</v>
      </c>
      <c r="K23" s="1" t="s">
        <v>126</v>
      </c>
      <c r="L23" s="7">
        <f>C5*((G14^3*F14*COS(C16)-G14^2*F14^2*SIN(C16)/2+G14*F14^3*COS(C16)/3-F14^4*SIN(C16)/4)-(G14^3*F13*COS(C16)-G14^2*F13^2*SIN(C16)/2+G14*F13^3*COS(C16)/3-F13^4*SIN(C16)/4))+C6*((G19^3*F22*COS(C16)-G19^2*F22^2*SIN(C16)/2+G19*F22^3*COS(C16)/3-F22^4*SIN(C16)/4)-(G19^3*F19*COS(C16)-G19^2*F19^2*SIN(C16)/2+G19*F19^3*COS(C16)/3-F19^4*SIN(C16)/4))+C6*((G15^4*COS(C16)/4-G15^3*F15*SIN(C16)/3+G15^2*F15^2*COS(C16)/2-G15*F15^3*SIN(C16))-(G16^4*COS(C16)/4-G16^3*F15*SIN(C16)/3+G16^2*F15^2*COS(C16)/2-G16*F15^3*SIN(C16)))+C5*((G17^4*COS(C16)/4-G17^3*F17*SIN(C16)/3+G17^2*F17^2*COS(C16)/2-G17*F17^3*SIN(C16))-(G18^4*COS(C16)/4-G18^3*F17*SIN(C16)/3+G18^2*F17^2*COS(C16)/2-G18*F17^3*SIN(C16)))+C5*((G20^4*COS(C16)/4-G20^3*F20*SIN(C16)/3+G20^2*F20^2*COS(C16)/2-G20*F20^3*SIN(C16))-(G21^4*COS(C16)/4-G21^3*F20*SIN(C16)/3+G21^2*F20^2*COS(C16)/2-G21*F20^3*SIN(C16)))</f>
        <v>8714787013.3121948</v>
      </c>
    </row>
    <row r="24" spans="1:15" x14ac:dyDescent="0.3">
      <c r="A24" t="s">
        <v>93</v>
      </c>
      <c r="B24" s="1" t="s">
        <v>97</v>
      </c>
      <c r="C24" s="11">
        <f>C22-C8</f>
        <v>-65.95824500044904</v>
      </c>
    </row>
    <row r="25" spans="1:15" x14ac:dyDescent="0.3">
      <c r="A25" t="s">
        <v>93</v>
      </c>
      <c r="B25" s="1" t="s">
        <v>98</v>
      </c>
      <c r="C25" s="11">
        <f>C23-C9</f>
        <v>-109.28796046625943</v>
      </c>
      <c r="E25" s="30" t="s">
        <v>148</v>
      </c>
      <c r="F25" s="30" t="s">
        <v>146</v>
      </c>
      <c r="G25" s="30"/>
      <c r="H25" s="30" t="s">
        <v>147</v>
      </c>
      <c r="I25" s="30"/>
      <c r="J25" s="30" t="s">
        <v>145</v>
      </c>
      <c r="K25" s="30"/>
    </row>
    <row r="26" spans="1:15" x14ac:dyDescent="0.3">
      <c r="A26" t="s">
        <v>99</v>
      </c>
      <c r="B26" s="1" t="s">
        <v>100</v>
      </c>
      <c r="C26" s="11">
        <f>C24*COS(C16)+C25*SIN(C16)</f>
        <v>-114.09143143441327</v>
      </c>
      <c r="E26" s="30"/>
      <c r="F26" s="1" t="s">
        <v>149</v>
      </c>
      <c r="G26" s="1" t="s">
        <v>150</v>
      </c>
      <c r="H26" s="1" t="s">
        <v>12</v>
      </c>
      <c r="I26" s="1" t="s">
        <v>13</v>
      </c>
      <c r="J26" s="1" t="s">
        <v>48</v>
      </c>
      <c r="K26" s="1" t="s">
        <v>49</v>
      </c>
    </row>
    <row r="27" spans="1:15" x14ac:dyDescent="0.3">
      <c r="A27" t="s">
        <v>99</v>
      </c>
      <c r="B27" s="1" t="s">
        <v>101</v>
      </c>
      <c r="C27" s="11">
        <f>C25*COS(C16)-C24*SIN(C16)</f>
        <v>-57.249398771170689</v>
      </c>
      <c r="E27" s="1" t="s">
        <v>140</v>
      </c>
      <c r="F27">
        <f>-C4/2</f>
        <v>-85</v>
      </c>
      <c r="G27">
        <f>-C4/2</f>
        <v>-85</v>
      </c>
      <c r="H27" s="13">
        <f>F27-$C$8</f>
        <v>-152.20164609053498</v>
      </c>
      <c r="I27" s="13">
        <f>G27-$C$9</f>
        <v>-202.27572016460906</v>
      </c>
      <c r="J27" s="13">
        <f>H27*COS($C$16)+I27*SIN($C$16)</f>
        <v>-236.64440078935013</v>
      </c>
      <c r="K27" s="13">
        <f>I27*COS($C$16)-H27*SIN($C$16)</f>
        <v>-89.890130803270708</v>
      </c>
    </row>
    <row r="28" spans="1:15" x14ac:dyDescent="0.3">
      <c r="A28" t="s">
        <v>116</v>
      </c>
      <c r="B28" s="1" t="s">
        <v>117</v>
      </c>
      <c r="C28" s="10">
        <f>((I13^2+I13*I14+I14^2)+(I17^2+I17*I18+I18^2)+(I20^2+I20*I21+I21^2))*C4*C5/3+C6*((C3-C5/2+C6/2)*(I15^2+I15*I16+I16^2)+(C2-C5)*(I19^2+I19*I22+I22^2))/3</f>
        <v>1054180342887.2882</v>
      </c>
      <c r="E28" s="1" t="s">
        <v>141</v>
      </c>
      <c r="F28">
        <f>C2-C4/2</f>
        <v>315</v>
      </c>
      <c r="G28">
        <f>-C4/2</f>
        <v>-85</v>
      </c>
      <c r="H28" s="13">
        <f t="shared" ref="H28:H31" si="10">F28-$C$8</f>
        <v>247.79835390946502</v>
      </c>
      <c r="I28" s="13">
        <f t="shared" ref="I28:I31" si="11">G28-$C$9</f>
        <v>-202.27572016460906</v>
      </c>
      <c r="J28" s="13">
        <f t="shared" ref="J28:J31" si="12">H28*COS($C$16)+I28*SIN($C$16)</f>
        <v>101.68003636617364</v>
      </c>
      <c r="K28" s="13">
        <f t="shared" ref="K28:K31" si="13">I28*COS($C$16)-H28*SIN($C$16)</f>
        <v>-303.28313730394791</v>
      </c>
    </row>
    <row r="29" spans="1:15" ht="16" x14ac:dyDescent="0.3">
      <c r="A29" t="s">
        <v>118</v>
      </c>
      <c r="B29" s="1" t="s">
        <v>119</v>
      </c>
      <c r="C29" s="11">
        <f>((C13+C14)/C7+C26^2+C27^2)^0.5</f>
        <v>251.67372489480178</v>
      </c>
      <c r="E29" s="1" t="s">
        <v>142</v>
      </c>
      <c r="F29">
        <f>C2-C4/2</f>
        <v>315</v>
      </c>
      <c r="G29">
        <f>C4/2</f>
        <v>85</v>
      </c>
      <c r="H29" s="13">
        <f t="shared" si="10"/>
        <v>247.79835390946502</v>
      </c>
      <c r="I29" s="13">
        <f t="shared" si="11"/>
        <v>-32.275720164609055</v>
      </c>
      <c r="J29" s="13">
        <f t="shared" si="12"/>
        <v>192.37206412896145</v>
      </c>
      <c r="K29" s="13">
        <f t="shared" si="13"/>
        <v>-159.4952515128503</v>
      </c>
    </row>
    <row r="30" spans="1:15" ht="16.5" x14ac:dyDescent="0.3">
      <c r="A30" t="s">
        <v>118</v>
      </c>
      <c r="B30" s="1" t="s">
        <v>133</v>
      </c>
      <c r="C30" s="15">
        <f>C29^2</f>
        <v>63339.663802424366</v>
      </c>
      <c r="E30" s="1" t="s">
        <v>143</v>
      </c>
      <c r="F30">
        <f>-C4/2</f>
        <v>-85</v>
      </c>
      <c r="G30">
        <f>C3+C6/2</f>
        <v>403</v>
      </c>
      <c r="H30" s="13">
        <f t="shared" si="10"/>
        <v>-152.20164609053498</v>
      </c>
      <c r="I30" s="13">
        <f t="shared" si="11"/>
        <v>285.72427983539092</v>
      </c>
      <c r="J30" s="13">
        <f t="shared" si="12"/>
        <v>23.695067141476045</v>
      </c>
      <c r="K30" s="13">
        <f t="shared" si="13"/>
        <v>322.86568252646828</v>
      </c>
    </row>
    <row r="31" spans="1:15" x14ac:dyDescent="0.3">
      <c r="A31" t="s">
        <v>130</v>
      </c>
      <c r="B31" s="1" t="s">
        <v>128</v>
      </c>
      <c r="C31" s="11">
        <f>L22/(2*C14)-C26</f>
        <v>189.77136881452009</v>
      </c>
      <c r="E31" s="1" t="s">
        <v>144</v>
      </c>
      <c r="F31">
        <f>C4/2</f>
        <v>85</v>
      </c>
      <c r="G31">
        <f>C3+C6/2</f>
        <v>403</v>
      </c>
      <c r="H31" s="13">
        <f t="shared" si="10"/>
        <v>17.798353909465021</v>
      </c>
      <c r="I31" s="13">
        <f t="shared" si="11"/>
        <v>285.72427983539092</v>
      </c>
      <c r="J31" s="13">
        <f t="shared" si="12"/>
        <v>167.48295293257362</v>
      </c>
      <c r="K31" s="13">
        <f t="shared" si="13"/>
        <v>232.17365476368045</v>
      </c>
    </row>
    <row r="32" spans="1:15" x14ac:dyDescent="0.3">
      <c r="A32" t="s">
        <v>131</v>
      </c>
      <c r="B32" s="1" t="s">
        <v>129</v>
      </c>
      <c r="C32" s="11">
        <f>L23/(2*C13)-C27</f>
        <v>71.147463993145948</v>
      </c>
      <c r="J32" s="13" cm="1">
        <f t="array" ref="J32">MAX(ABS(J27:J31))</f>
        <v>236.64440078935013</v>
      </c>
      <c r="K32" s="13" cm="1">
        <f t="array" ref="K32">MAX(ABS(K27:K31))</f>
        <v>322.86568252646828</v>
      </c>
    </row>
    <row r="33" spans="1:7" x14ac:dyDescent="0.3">
      <c r="A33" t="s">
        <v>136</v>
      </c>
      <c r="B33" s="1" t="s">
        <v>138</v>
      </c>
      <c r="C33" s="10" cm="1">
        <f t="array" ref="C33">C13/MAX(ABS(K27:K31))</f>
        <v>971070.02885552403</v>
      </c>
    </row>
    <row r="34" spans="1:7" x14ac:dyDescent="0.3">
      <c r="A34" t="s">
        <v>137</v>
      </c>
      <c r="B34" s="1" t="s">
        <v>139</v>
      </c>
      <c r="C34" s="10" cm="1">
        <f t="array" ref="C34">C14/MAX(ABS(J27:J31))</f>
        <v>607473.82028341177</v>
      </c>
    </row>
    <row r="35" spans="1:7" x14ac:dyDescent="0.3">
      <c r="A35" s="23" t="s">
        <v>151</v>
      </c>
      <c r="B35" s="24" t="s">
        <v>153</v>
      </c>
      <c r="C35" s="25">
        <v>206000</v>
      </c>
      <c r="D35" s="23" t="s">
        <v>158</v>
      </c>
    </row>
    <row r="36" spans="1:7" x14ac:dyDescent="0.3">
      <c r="A36" s="23" t="s">
        <v>152</v>
      </c>
      <c r="B36" s="24" t="s">
        <v>154</v>
      </c>
      <c r="C36" s="25">
        <v>79000</v>
      </c>
      <c r="D36" s="23" t="s">
        <v>158</v>
      </c>
      <c r="F36" t="s">
        <v>213</v>
      </c>
    </row>
    <row r="37" spans="1:7" x14ac:dyDescent="0.3">
      <c r="A37" s="23" t="s">
        <v>155</v>
      </c>
      <c r="B37" s="24" t="s">
        <v>161</v>
      </c>
      <c r="C37" s="25">
        <v>0.3</v>
      </c>
      <c r="D37" s="23"/>
      <c r="F37" s="23"/>
      <c r="G37" t="s">
        <v>211</v>
      </c>
    </row>
    <row r="38" spans="1:7" x14ac:dyDescent="0.3">
      <c r="A38" s="23" t="s">
        <v>171</v>
      </c>
      <c r="B38" s="24" t="s">
        <v>170</v>
      </c>
      <c r="C38" s="25">
        <v>355</v>
      </c>
      <c r="D38" s="23" t="s">
        <v>158</v>
      </c>
      <c r="F38" s="27"/>
      <c r="G38" t="s">
        <v>212</v>
      </c>
    </row>
    <row r="39" spans="1:7" x14ac:dyDescent="0.3">
      <c r="A39" s="23" t="s">
        <v>187</v>
      </c>
      <c r="B39" s="24" t="s">
        <v>188</v>
      </c>
      <c r="C39" s="25">
        <v>305</v>
      </c>
      <c r="D39" s="23" t="s">
        <v>158</v>
      </c>
      <c r="F39" t="s">
        <v>215</v>
      </c>
    </row>
    <row r="40" spans="1:7" x14ac:dyDescent="0.3">
      <c r="A40" s="23" t="s">
        <v>156</v>
      </c>
      <c r="B40" s="26" t="s">
        <v>157</v>
      </c>
      <c r="C40" s="25">
        <v>2900</v>
      </c>
      <c r="D40" s="23" t="s">
        <v>1</v>
      </c>
      <c r="F40" t="s">
        <v>216</v>
      </c>
    </row>
    <row r="41" spans="1:7" x14ac:dyDescent="0.3">
      <c r="A41" s="23" t="s">
        <v>162</v>
      </c>
      <c r="B41" s="23"/>
      <c r="C41" s="25" t="s">
        <v>163</v>
      </c>
      <c r="D41" s="23"/>
      <c r="F41" t="s">
        <v>214</v>
      </c>
    </row>
    <row r="42" spans="1:7" x14ac:dyDescent="0.3">
      <c r="A42" s="23" t="s">
        <v>134</v>
      </c>
      <c r="B42" s="24" t="s">
        <v>135</v>
      </c>
      <c r="C42" s="25">
        <v>2107</v>
      </c>
      <c r="D42" s="23" t="s">
        <v>159</v>
      </c>
    </row>
    <row r="43" spans="1:7" x14ac:dyDescent="0.3">
      <c r="A43" s="23" t="s">
        <v>193</v>
      </c>
      <c r="B43" s="24" t="s">
        <v>196</v>
      </c>
      <c r="C43" s="25">
        <v>34.024999999999999</v>
      </c>
      <c r="D43" s="23" t="s">
        <v>160</v>
      </c>
    </row>
    <row r="44" spans="1:7" x14ac:dyDescent="0.3">
      <c r="A44" s="23" t="s">
        <v>193</v>
      </c>
      <c r="B44" s="24" t="s">
        <v>197</v>
      </c>
      <c r="C44" s="25">
        <v>29.922999999999998</v>
      </c>
      <c r="D44" s="23" t="s">
        <v>160</v>
      </c>
    </row>
    <row r="45" spans="1:7" x14ac:dyDescent="0.3">
      <c r="A45" s="23" t="s">
        <v>194</v>
      </c>
      <c r="B45" s="24" t="s">
        <v>198</v>
      </c>
      <c r="C45" s="25">
        <v>19.747</v>
      </c>
      <c r="D45" s="23" t="s">
        <v>160</v>
      </c>
    </row>
    <row r="46" spans="1:7" x14ac:dyDescent="0.3">
      <c r="A46" s="23" t="s">
        <v>194</v>
      </c>
      <c r="B46" s="24" t="s">
        <v>199</v>
      </c>
      <c r="C46" s="25">
        <v>16.878</v>
      </c>
      <c r="D46" s="23" t="s">
        <v>160</v>
      </c>
    </row>
    <row r="47" spans="1:7" x14ac:dyDescent="0.3">
      <c r="A47" t="s">
        <v>195</v>
      </c>
      <c r="B47" s="1" t="s">
        <v>200</v>
      </c>
      <c r="C47" s="9">
        <f>C43*COS($C$16)+C44*SIN($C$16)</f>
        <v>44.742119769341144</v>
      </c>
      <c r="D47" t="s">
        <v>160</v>
      </c>
    </row>
    <row r="48" spans="1:7" x14ac:dyDescent="0.3">
      <c r="A48" t="s">
        <v>204</v>
      </c>
      <c r="B48" s="1" t="s">
        <v>201</v>
      </c>
      <c r="C48" s="9">
        <f>C44*COS($C$16)-C43*SIN($C$16)</f>
        <v>7.1574627170479879</v>
      </c>
      <c r="D48" t="s">
        <v>160</v>
      </c>
      <c r="G48" s="19"/>
    </row>
    <row r="49" spans="1:5" x14ac:dyDescent="0.3">
      <c r="A49" t="s">
        <v>206</v>
      </c>
      <c r="B49" s="1" t="s">
        <v>202</v>
      </c>
      <c r="C49" s="9">
        <f>C45*COS($C$16)+C46*SIN($C$16)</f>
        <v>25.706349560571393</v>
      </c>
      <c r="D49" t="s">
        <v>160</v>
      </c>
      <c r="E49" s="17"/>
    </row>
    <row r="50" spans="1:5" x14ac:dyDescent="0.3">
      <c r="A50" t="s">
        <v>205</v>
      </c>
      <c r="B50" s="1" t="s">
        <v>203</v>
      </c>
      <c r="C50" s="9">
        <f>C46*COS($C$16)-C45*SIN($C$16)</f>
        <v>3.7409203773551436</v>
      </c>
      <c r="D50" t="s">
        <v>160</v>
      </c>
      <c r="E50" s="17"/>
    </row>
    <row r="51" spans="1:5" x14ac:dyDescent="0.3">
      <c r="A51" t="s">
        <v>181</v>
      </c>
      <c r="B51" s="1" t="s">
        <v>164</v>
      </c>
      <c r="C51" s="8">
        <f>IF($C$41="两端简支",1,IF($C$41="两端固定",0.5,IF($C$41="一端固定，一端简支",0.7,2)))</f>
        <v>1</v>
      </c>
      <c r="E51" s="12"/>
    </row>
    <row r="52" spans="1:5" x14ac:dyDescent="0.3">
      <c r="A52" t="s">
        <v>182</v>
      </c>
      <c r="B52" s="1" t="s">
        <v>165</v>
      </c>
      <c r="C52" s="8">
        <f>IF($C$41="两端简支",1,IF($C$41="两端固定",0.5,IF($C$41="一端固定，一端简支",0.7,2)))</f>
        <v>1</v>
      </c>
      <c r="E52" s="18"/>
    </row>
    <row r="53" spans="1:5" x14ac:dyDescent="0.3">
      <c r="A53" t="s">
        <v>180</v>
      </c>
      <c r="B53" s="1" t="s">
        <v>179</v>
      </c>
      <c r="C53" s="8">
        <f>IF($C$41="两端简支",1,IF($C$41="两端固定",0.5,IF($C$41="一端固定，一端简支",0.7,2)))</f>
        <v>1</v>
      </c>
    </row>
    <row r="54" spans="1:5" x14ac:dyDescent="0.3">
      <c r="A54" t="s">
        <v>172</v>
      </c>
      <c r="B54" s="1" t="s">
        <v>173</v>
      </c>
      <c r="C54" s="16">
        <f t="array" ref="C54">1/(0.44*C58-0.62*(C58^2-2.27*(C55^2+C56^2+C57^2)/((C55*C56*C57)^2))^0.5)^0.5</f>
        <v>50.045047488263762</v>
      </c>
    </row>
    <row r="55" spans="1:5" x14ac:dyDescent="0.3">
      <c r="A55" t="s">
        <v>172</v>
      </c>
      <c r="B55" s="1" t="s">
        <v>174</v>
      </c>
      <c r="C55" s="16">
        <f>C51*C40/(C13/C7)^0.5</f>
        <v>16.147114025848126</v>
      </c>
      <c r="E55" s="17"/>
    </row>
    <row r="56" spans="1:5" x14ac:dyDescent="0.3">
      <c r="A56" t="s">
        <v>172</v>
      </c>
      <c r="B56" s="1" t="s">
        <v>175</v>
      </c>
      <c r="C56" s="16">
        <f>C52*C40/(C14/C7)^0.5</f>
        <v>23.846202665410985</v>
      </c>
      <c r="E56" s="17"/>
    </row>
    <row r="57" spans="1:5" x14ac:dyDescent="0.3">
      <c r="A57" t="s">
        <v>172</v>
      </c>
      <c r="B57" s="1" t="s">
        <v>176</v>
      </c>
      <c r="C57" s="16">
        <f>C53*C40/((C28/(C7*C30)+(C53*C40)^2*C36*C18/(PI()^2*C35*C7*C30))^0.5)</f>
        <v>67.755317703983096</v>
      </c>
    </row>
    <row r="58" spans="1:5" x14ac:dyDescent="0.3">
      <c r="A58" t="s">
        <v>178</v>
      </c>
      <c r="B58" s="1" t="s">
        <v>177</v>
      </c>
      <c r="C58" s="20">
        <f>1/C55^2*(1-C27^2/C30)+1/C56^2*(1-C26^2/C30)+1/C57^2</f>
        <v>5.2519364765932679E-3</v>
      </c>
    </row>
    <row r="59" spans="1:5" ht="16" x14ac:dyDescent="0.3">
      <c r="A59" s="27" t="s">
        <v>166</v>
      </c>
      <c r="B59" s="28" t="s">
        <v>168</v>
      </c>
      <c r="C59" s="29">
        <f>MIN(PI()^2*C35*C14/(C33*C38*(C52*C40)^2)*(C32+(C32^2+C28/C14+C36*C18/(PI()^2*C35*C14)*(C52*C40)^2)^0.5),1)</f>
        <v>1</v>
      </c>
      <c r="D59" s="21" t="str">
        <f>IF(C59&gt;0.6,"按照钢结构设计标准进行折减","")</f>
        <v>按照钢结构设计标准进行折减</v>
      </c>
      <c r="E59" s="21"/>
    </row>
    <row r="60" spans="1:5" ht="16" x14ac:dyDescent="0.3">
      <c r="A60" s="27" t="s">
        <v>167</v>
      </c>
      <c r="B60" s="28" t="s">
        <v>169</v>
      </c>
      <c r="C60" s="29">
        <f>MIN(PI()^2*C35*C13/(C34*C38*(C51*C40)^2)*(C31+(C31^2+C28/C13+C36*C18/(PI()^2*C35*C13)*(C51*C40)^2)^0.5),1)</f>
        <v>1</v>
      </c>
      <c r="D60" s="21" t="str">
        <f>IF(C60&gt;0.6,"按照钢结构设计标准进行折减","")</f>
        <v>按照钢结构设计标准进行折减</v>
      </c>
      <c r="E60" s="21"/>
    </row>
    <row r="61" spans="1:5" x14ac:dyDescent="0.3">
      <c r="A61" s="23" t="s">
        <v>183</v>
      </c>
      <c r="B61" s="24" t="s">
        <v>184</v>
      </c>
      <c r="C61" s="25">
        <v>0.80700000000000005</v>
      </c>
      <c r="D61" s="22" t="s">
        <v>185</v>
      </c>
      <c r="E61" s="21"/>
    </row>
    <row r="62" spans="1:5" x14ac:dyDescent="0.3">
      <c r="A62" s="23" t="s">
        <v>189</v>
      </c>
      <c r="B62" s="23"/>
      <c r="C62" s="25" t="s">
        <v>190</v>
      </c>
    </row>
    <row r="63" spans="1:5" x14ac:dyDescent="0.3">
      <c r="A63" s="23" t="s">
        <v>208</v>
      </c>
      <c r="B63" s="23"/>
      <c r="C63" s="25" t="s">
        <v>207</v>
      </c>
    </row>
    <row r="64" spans="1:5" x14ac:dyDescent="0.3">
      <c r="A64" s="23" t="s">
        <v>209</v>
      </c>
      <c r="B64" s="23"/>
      <c r="C64" s="25" t="s">
        <v>207</v>
      </c>
    </row>
    <row r="65" spans="1:5" x14ac:dyDescent="0.3">
      <c r="A65" t="s">
        <v>191</v>
      </c>
      <c r="B65" s="1" t="s">
        <v>192</v>
      </c>
      <c r="C65" s="11">
        <f>IF(C$62="无横向荷载作用",IF(ABS(C47)&lt;ABS(C49),0.65+0.35*C47/C49,0.65+0.35*C49/C47),IF(C$62="端弯矩和横向荷载同时作用",IF(C63="产生同向曲率",1,0.85),1))</f>
        <v>0.85109065892683067</v>
      </c>
    </row>
    <row r="66" spans="1:5" x14ac:dyDescent="0.3">
      <c r="A66" t="s">
        <v>191</v>
      </c>
      <c r="B66" s="1" t="s">
        <v>210</v>
      </c>
      <c r="C66" s="11">
        <f>IF(C$62="无横向荷载作用",IF(ABS(C48)&lt;ABS(C50),0.65+0.35*C48/C50,0.65+0.35*C50/C48),IF(C$62="端弯矩和横向荷载同时作用",IF(C64="产生同向曲率",1,0.85),1))</f>
        <v>0.8329310446781224</v>
      </c>
    </row>
    <row r="67" spans="1:5" x14ac:dyDescent="0.3">
      <c r="A67" t="s">
        <v>186</v>
      </c>
      <c r="C67" s="16">
        <f>MAX(C42*10^3/(C61*C7)+C65*C47*10^6/(C59*C33)+C66*C48*10^6/(C60*C34)-2*(C32*C47*10^6+C31*C48*10^6)/(C30*C61*C7),C42*10^3/(C61*C7)+C65*C49*10^6/(C59*C33)+C66*C50*10^6/(C60*C34)-2*(C32*C49*10^6+C31*C50*10^6)/(C30*C61*C7))</f>
        <v>299.35765833965513</v>
      </c>
      <c r="D67" s="21" t="str">
        <f>IF(C67&gt;C39,"不满足稳定性设计要求","满足稳定性设计要求")</f>
        <v>满足稳定性设计要求</v>
      </c>
      <c r="E67" s="21"/>
    </row>
  </sheetData>
  <mergeCells count="15">
    <mergeCell ref="F25:G25"/>
    <mergeCell ref="J25:K25"/>
    <mergeCell ref="H25:I25"/>
    <mergeCell ref="E25:E26"/>
    <mergeCell ref="T1:U1"/>
    <mergeCell ref="T2:T7"/>
    <mergeCell ref="U2:U7"/>
    <mergeCell ref="V2:V7"/>
    <mergeCell ref="F11:G11"/>
    <mergeCell ref="E1:E2"/>
    <mergeCell ref="F1:G1"/>
    <mergeCell ref="H1:I1"/>
    <mergeCell ref="J1:J2"/>
    <mergeCell ref="K1:R1"/>
    <mergeCell ref="S1:S7"/>
  </mergeCells>
  <phoneticPr fontId="1" type="noConversion"/>
  <dataValidations count="3">
    <dataValidation type="list" allowBlank="1" showInputMessage="1" showErrorMessage="1" sqref="C41" xr:uid="{DAC8291F-3829-4187-8773-22005BC2D244}">
      <formula1>"两端简支,两端固定,一端固定，一端简支,一端固定，一端自由"</formula1>
    </dataValidation>
    <dataValidation type="list" allowBlank="1" showInputMessage="1" showErrorMessage="1" sqref="C62" xr:uid="{3E4C7B6D-DE61-43FB-A4D0-AB44888228D3}">
      <formula1>"无横向荷载作用,端弯矩和横向荷载同时作用,无端弯矩有横向荷载作用"</formula1>
    </dataValidation>
    <dataValidation type="list" allowBlank="1" showInputMessage="1" showErrorMessage="1" sqref="C63:C64" xr:uid="{BC6463B2-B3B7-4280-A218-0B3D0419AD30}">
      <formula1>"产生同向曲率,产生反向曲率"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G4 C48:C4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8F3A-AA05-4159-973B-3BAB5491BC4A}">
  <dimension ref="A1:V1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Q7" sqref="Q7"/>
    </sheetView>
  </sheetViews>
  <sheetFormatPr defaultColWidth="9" defaultRowHeight="14" x14ac:dyDescent="0.3"/>
  <cols>
    <col min="1" max="6" width="9" style="1"/>
    <col min="7" max="7" width="9" style="1" customWidth="1"/>
    <col min="8" max="9" width="9" style="1"/>
    <col min="10" max="14" width="9.83203125" style="1" customWidth="1"/>
    <col min="15" max="16" width="9" style="1"/>
    <col min="17" max="17" width="10.08203125" style="1" bestFit="1" customWidth="1"/>
    <col min="18" max="23" width="9" style="1"/>
    <col min="24" max="24" width="10.08203125" style="1" bestFit="1" customWidth="1"/>
    <col min="25" max="16384" width="9" style="1"/>
  </cols>
  <sheetData>
    <row r="1" spans="1:22" ht="16.5" x14ac:dyDescent="0.3">
      <c r="A1" s="1" t="s">
        <v>0</v>
      </c>
      <c r="B1" s="1" t="s">
        <v>1</v>
      </c>
      <c r="D1" s="30" t="s">
        <v>20</v>
      </c>
      <c r="E1" s="30" t="s">
        <v>25</v>
      </c>
      <c r="F1" s="30"/>
      <c r="G1" s="30" t="s">
        <v>26</v>
      </c>
      <c r="H1" s="30"/>
      <c r="I1" s="31" t="s">
        <v>27</v>
      </c>
      <c r="J1" s="30" t="s">
        <v>28</v>
      </c>
      <c r="K1" s="30"/>
      <c r="L1" s="30"/>
      <c r="M1" s="30"/>
      <c r="N1" s="30"/>
      <c r="O1" s="30"/>
      <c r="P1" s="30"/>
      <c r="Q1" s="30"/>
      <c r="R1" s="30" t="s">
        <v>34</v>
      </c>
      <c r="S1" s="30" t="s">
        <v>35</v>
      </c>
      <c r="T1" s="30"/>
      <c r="U1" s="30" t="s">
        <v>38</v>
      </c>
      <c r="V1" s="30"/>
    </row>
    <row r="2" spans="1:22" ht="16" x14ac:dyDescent="0.3">
      <c r="A2" s="1" t="s">
        <v>2</v>
      </c>
      <c r="B2" s="1">
        <v>200</v>
      </c>
      <c r="D2" s="30"/>
      <c r="E2" s="1" t="s">
        <v>12</v>
      </c>
      <c r="F2" s="1" t="s">
        <v>13</v>
      </c>
      <c r="G2" s="1" t="s">
        <v>12</v>
      </c>
      <c r="H2" s="1" t="s">
        <v>13</v>
      </c>
      <c r="I2" s="30"/>
      <c r="J2" s="1" t="s">
        <v>23</v>
      </c>
      <c r="K2" s="1" t="s">
        <v>24</v>
      </c>
      <c r="L2" s="1" t="s">
        <v>21</v>
      </c>
      <c r="M2" s="1" t="s">
        <v>22</v>
      </c>
      <c r="N2" s="1" t="s">
        <v>32</v>
      </c>
      <c r="O2" s="1" t="s">
        <v>30</v>
      </c>
      <c r="P2" s="1" t="s">
        <v>31</v>
      </c>
      <c r="Q2" s="1" t="s">
        <v>33</v>
      </c>
      <c r="R2" s="30"/>
      <c r="S2" s="30" t="s">
        <v>36</v>
      </c>
      <c r="T2" s="30" t="s">
        <v>37</v>
      </c>
      <c r="U2" s="1" t="s">
        <v>39</v>
      </c>
      <c r="V2" s="1" t="s">
        <v>44</v>
      </c>
    </row>
    <row r="3" spans="1:22" x14ac:dyDescent="0.3">
      <c r="A3" s="1" t="s">
        <v>3</v>
      </c>
      <c r="B3" s="1">
        <v>200</v>
      </c>
      <c r="D3" s="1" t="s">
        <v>14</v>
      </c>
      <c r="E3" s="1">
        <f>B5</f>
        <v>100</v>
      </c>
      <c r="F3" s="1">
        <f>B7</f>
        <v>8</v>
      </c>
      <c r="G3" s="1">
        <f>B5/2</f>
        <v>50</v>
      </c>
      <c r="H3" s="1">
        <f>B2-B7/2</f>
        <v>196</v>
      </c>
      <c r="I3" s="1">
        <f>B5*B7</f>
        <v>800</v>
      </c>
      <c r="J3" s="4">
        <f>E3*F3^3/12</f>
        <v>4266.666666666667</v>
      </c>
      <c r="K3" s="4">
        <f>E3^3*F3/12</f>
        <v>666666.66666666663</v>
      </c>
      <c r="L3" s="4">
        <f>J3+H3^2*I3</f>
        <v>30737066.666666668</v>
      </c>
      <c r="M3" s="4">
        <f>K3+G3^2*I3</f>
        <v>2666666.6666666665</v>
      </c>
      <c r="N3" s="4">
        <f>(B2^2/2-(B2-B7)^2/2)*(B5^2/2)</f>
        <v>7840000</v>
      </c>
      <c r="O3" s="4">
        <f>J3+(H3-$H$8)^2*I3</f>
        <v>10912437.933063982</v>
      </c>
      <c r="P3" s="4">
        <f>K3+(G3-$G$8)^2*I3</f>
        <v>3444456.5806596563</v>
      </c>
      <c r="Q3" s="4">
        <f>((B2-H8)^2/2-(B2-B7-H8)^2/2)*((B5-G8)^2/2-(0-G8)^2/2)</f>
        <v>-5504598.8158908179</v>
      </c>
      <c r="R3" s="30"/>
      <c r="S3" s="30"/>
      <c r="T3" s="30"/>
      <c r="U3" s="5">
        <f>B5-B12</f>
        <v>-8.9256938227394755</v>
      </c>
    </row>
    <row r="4" spans="1:22" x14ac:dyDescent="0.3">
      <c r="A4" s="1" t="s">
        <v>11</v>
      </c>
      <c r="B4" s="1">
        <f>B6/2</f>
        <v>50</v>
      </c>
      <c r="D4" s="1" t="s">
        <v>15</v>
      </c>
      <c r="E4" s="1">
        <f>B5</f>
        <v>100</v>
      </c>
      <c r="F4" s="1">
        <f>B8</f>
        <v>8</v>
      </c>
      <c r="G4" s="1">
        <f>B5/2</f>
        <v>50</v>
      </c>
      <c r="H4" s="1">
        <f>B8/2</f>
        <v>4</v>
      </c>
      <c r="I4" s="1">
        <f>B5*B8</f>
        <v>800</v>
      </c>
      <c r="J4" s="4">
        <f t="shared" ref="J4:J7" si="0">E4*F4^3/12</f>
        <v>4266.666666666667</v>
      </c>
      <c r="K4" s="4">
        <f t="shared" ref="K4:K7" si="1">E4^3*F4/12</f>
        <v>666666.66666666663</v>
      </c>
      <c r="L4" s="4">
        <f t="shared" ref="L4:L7" si="2">J4+H4^2*I4</f>
        <v>17066.666666666668</v>
      </c>
      <c r="M4" s="4">
        <f t="shared" ref="M4:M7" si="3">K4+G4^2*I4</f>
        <v>2666666.6666666665</v>
      </c>
      <c r="N4" s="4">
        <f>(B8^2/2)*(B5^2/2)</f>
        <v>160000</v>
      </c>
      <c r="O4" s="4">
        <f t="shared" ref="O4:O7" si="4">J4+(H4-$H$8)^2*I4</f>
        <v>4531918.6850783061</v>
      </c>
      <c r="P4" s="4">
        <f t="shared" ref="P4:P7" si="5">K4+(G4-$G$8)^2*I4</f>
        <v>3444456.5806596563</v>
      </c>
      <c r="Q4" s="4">
        <f>((B8-H8)^2/2-(0-H8)^2/2)*((B5-G8)^2/2-(0-G8)^2/2)</f>
        <v>3546387.7552819643</v>
      </c>
      <c r="R4" s="30"/>
      <c r="S4" s="30"/>
      <c r="T4" s="30"/>
    </row>
    <row r="5" spans="1:22" x14ac:dyDescent="0.3">
      <c r="A5" s="1" t="s">
        <v>4</v>
      </c>
      <c r="B5" s="1">
        <v>100</v>
      </c>
      <c r="D5" s="1" t="s">
        <v>16</v>
      </c>
      <c r="E5" s="1">
        <f>B9</f>
        <v>8</v>
      </c>
      <c r="F5" s="1">
        <f>B6</f>
        <v>100</v>
      </c>
      <c r="G5" s="1">
        <f>B5/2+B10/2+B3-B9/2</f>
        <v>248.75</v>
      </c>
      <c r="H5" s="1">
        <f>B4</f>
        <v>50</v>
      </c>
      <c r="I5" s="1">
        <f>B6*B9</f>
        <v>800</v>
      </c>
      <c r="J5" s="4">
        <f t="shared" si="0"/>
        <v>666666.66666666663</v>
      </c>
      <c r="K5" s="4">
        <f t="shared" si="1"/>
        <v>4266.666666666667</v>
      </c>
      <c r="L5" s="4">
        <f t="shared" si="2"/>
        <v>2666666.6666666665</v>
      </c>
      <c r="M5" s="4">
        <f t="shared" si="3"/>
        <v>49505516.666666664</v>
      </c>
      <c r="N5" s="4">
        <f>(B6^2/2)*((B5/2+B10/2+B3)^2/2-(B5/2+B10/2+B3-B9)^2/2)</f>
        <v>9950000</v>
      </c>
      <c r="O5" s="4">
        <f t="shared" si="4"/>
        <v>1350184.7549082073</v>
      </c>
      <c r="P5" s="4">
        <f t="shared" si="5"/>
        <v>15644935.945028504</v>
      </c>
      <c r="Q5" s="4">
        <f>((B6-H8)^2/2-(0-H8)^2/2)*((B5/2+B10/2+B3-G8)^2/2-(B5/2+B10/2+B3-B9-G8)^2/2)</f>
        <v>-3269660.5884960103</v>
      </c>
      <c r="R5" s="30"/>
      <c r="S5" s="30"/>
      <c r="T5" s="30"/>
    </row>
    <row r="6" spans="1:22" x14ac:dyDescent="0.3">
      <c r="A6" s="1" t="s">
        <v>5</v>
      </c>
      <c r="B6" s="1">
        <v>100</v>
      </c>
      <c r="D6" s="1" t="s">
        <v>17</v>
      </c>
      <c r="E6" s="1">
        <f>B10</f>
        <v>5.5</v>
      </c>
      <c r="F6" s="1">
        <f>B2-B7-B8</f>
        <v>184</v>
      </c>
      <c r="G6" s="1">
        <f>B5/2</f>
        <v>50</v>
      </c>
      <c r="H6" s="1">
        <f>(B2-B7-B8)/2+B8</f>
        <v>100</v>
      </c>
      <c r="I6" s="1">
        <f>(B2-B7-B8)*B10</f>
        <v>1012</v>
      </c>
      <c r="J6" s="4">
        <f t="shared" si="0"/>
        <v>2855189.3333333335</v>
      </c>
      <c r="K6" s="4">
        <f t="shared" si="1"/>
        <v>2551.0833333333335</v>
      </c>
      <c r="L6" s="4">
        <f t="shared" si="2"/>
        <v>12975189.333333334</v>
      </c>
      <c r="M6" s="4">
        <f t="shared" si="3"/>
        <v>2532551.0833333335</v>
      </c>
      <c r="N6" s="4">
        <f>((B5/2+B10/2)^2/2-(B5/2-B10/2)^2/2)*((B2-B7)^2/2-B8^2/2)</f>
        <v>5060000</v>
      </c>
      <c r="O6" s="4">
        <f t="shared" si="4"/>
        <v>3291755.5609749975</v>
      </c>
      <c r="P6" s="4">
        <f t="shared" si="5"/>
        <v>3516455.3245344656</v>
      </c>
      <c r="Q6" s="4">
        <f>((B5/2+B10/2-G8)^2/2-(B5/2-B10/2-G8)^2/2)*((B2-B7-H8)^2/2-(B8-H8)^2/2)</f>
        <v>-1238568.4958350998</v>
      </c>
      <c r="R6" s="30"/>
      <c r="S6" s="30"/>
      <c r="T6" s="30"/>
    </row>
    <row r="7" spans="1:22" x14ac:dyDescent="0.3">
      <c r="A7" s="1" t="s">
        <v>6</v>
      </c>
      <c r="B7" s="1">
        <v>8</v>
      </c>
      <c r="D7" s="1" t="s">
        <v>18</v>
      </c>
      <c r="E7" s="1">
        <f>B3-B9</f>
        <v>192</v>
      </c>
      <c r="F7" s="1">
        <f>B11</f>
        <v>5.5</v>
      </c>
      <c r="G7" s="1">
        <f>B5/2+B10/2+(B3-B9)/2</f>
        <v>148.75</v>
      </c>
      <c r="H7" s="1">
        <f>B4</f>
        <v>50</v>
      </c>
      <c r="I7" s="1">
        <f>(B3-B9)*B11</f>
        <v>1056</v>
      </c>
      <c r="J7" s="4">
        <f t="shared" si="0"/>
        <v>2662</v>
      </c>
      <c r="K7" s="4">
        <f t="shared" si="1"/>
        <v>3244032</v>
      </c>
      <c r="L7" s="4">
        <f t="shared" si="2"/>
        <v>2642662</v>
      </c>
      <c r="M7" s="4">
        <f t="shared" si="3"/>
        <v>26609682</v>
      </c>
      <c r="N7" s="4">
        <f>((B5/2+B10/2+B3-B9)^2/2-(B5/2+B10/2)^2/2)*((B4+B11/2)^2/2-(B4-B11/2)^2/2)</f>
        <v>7854000</v>
      </c>
      <c r="O7" s="4">
        <f t="shared" si="4"/>
        <v>904905.87647883373</v>
      </c>
      <c r="P7" s="4">
        <f t="shared" si="5"/>
        <v>4918821.9828002015</v>
      </c>
      <c r="Q7" s="4">
        <f>((B5/2+B10/2+B3-B9-G8)^2/2-(B5/2+B10/2-G8)^2/2)*((B4+B11/2-H8)^2/2-(B4-B11/2-H8)^2/2)</f>
        <v>-1229255.4683098113</v>
      </c>
      <c r="R7" s="30"/>
      <c r="S7" s="30"/>
      <c r="T7" s="30"/>
    </row>
    <row r="8" spans="1:22" x14ac:dyDescent="0.3">
      <c r="A8" s="1" t="s">
        <v>7</v>
      </c>
      <c r="B8" s="1">
        <v>8</v>
      </c>
      <c r="D8" s="1" t="s">
        <v>19</v>
      </c>
      <c r="E8" s="1">
        <f>B5/2+B10/2+B3</f>
        <v>252.75</v>
      </c>
      <c r="F8" s="1">
        <f>B2</f>
        <v>200</v>
      </c>
      <c r="G8" s="3">
        <f>(G3*I3+G4*I4+G5*I5+G6*I6+G7*I7)/I8</f>
        <v>108.92569382273948</v>
      </c>
      <c r="H8" s="3">
        <f>(H3*I3+H4*I4+H5*I5+H6*I6+H7*I7)/I8</f>
        <v>79.230080572963288</v>
      </c>
      <c r="I8" s="1">
        <f>SUM(I3:I7)</f>
        <v>4468</v>
      </c>
      <c r="J8" s="1" t="s">
        <v>29</v>
      </c>
      <c r="K8" s="1" t="s">
        <v>29</v>
      </c>
      <c r="L8" s="4">
        <f>SUM(L3:L7)</f>
        <v>49038651.333333336</v>
      </c>
      <c r="M8" s="4">
        <f>SUM(M3:M7)</f>
        <v>83981083.083333343</v>
      </c>
      <c r="N8" s="4">
        <f>SUM(N3:N7)</f>
        <v>30864000</v>
      </c>
      <c r="O8" s="4">
        <f t="shared" ref="O8:P8" si="6">SUM(O3:O7)</f>
        <v>20991202.810504325</v>
      </c>
      <c r="P8" s="4">
        <f t="shared" si="6"/>
        <v>30969126.413682483</v>
      </c>
      <c r="Q8" s="4">
        <f>N8-G8*H8*I8</f>
        <v>-7695695.6132497713</v>
      </c>
      <c r="R8" s="3">
        <f>(ATAN(-2*Q8/(O8-P8))/2)/PI()*180</f>
        <v>-28.522742557603895</v>
      </c>
      <c r="S8" s="4">
        <f>(O8+P8)/2+0.5*((O8-P8)^2+4*Q8^2)^0.5</f>
        <v>35151504.254125357</v>
      </c>
      <c r="T8" s="4">
        <f>(O8+P8)/2-0.5*((O8-P8)^2+4*Q8^2)^0.5</f>
        <v>16808824.970061455</v>
      </c>
    </row>
    <row r="9" spans="1:22" x14ac:dyDescent="0.3">
      <c r="A9" s="1" t="s">
        <v>8</v>
      </c>
      <c r="B9" s="1">
        <v>8</v>
      </c>
      <c r="Q9" s="4"/>
    </row>
    <row r="10" spans="1:22" x14ac:dyDescent="0.3">
      <c r="A10" s="1" t="s">
        <v>9</v>
      </c>
      <c r="B10" s="1">
        <v>5.5</v>
      </c>
    </row>
    <row r="11" spans="1:22" x14ac:dyDescent="0.3">
      <c r="A11" s="1" t="s">
        <v>10</v>
      </c>
      <c r="B11" s="1">
        <v>5.5</v>
      </c>
    </row>
    <row r="12" spans="1:22" x14ac:dyDescent="0.3">
      <c r="A12" s="1" t="s">
        <v>40</v>
      </c>
      <c r="B12" s="3">
        <f>G8</f>
        <v>108.92569382273948</v>
      </c>
    </row>
    <row r="13" spans="1:22" x14ac:dyDescent="0.3">
      <c r="A13" s="1" t="s">
        <v>41</v>
      </c>
      <c r="B13" s="3">
        <f>H8</f>
        <v>79.230080572963288</v>
      </c>
    </row>
    <row r="14" spans="1:22" x14ac:dyDescent="0.3">
      <c r="A14" s="1" t="s">
        <v>42</v>
      </c>
    </row>
    <row r="15" spans="1:22" x14ac:dyDescent="0.3">
      <c r="A15" s="1" t="s">
        <v>43</v>
      </c>
    </row>
    <row r="16" spans="1:22" x14ac:dyDescent="0.3">
      <c r="A16" s="2"/>
    </row>
  </sheetData>
  <mergeCells count="10">
    <mergeCell ref="D1:D2"/>
    <mergeCell ref="I1:I2"/>
    <mergeCell ref="E1:F1"/>
    <mergeCell ref="J1:Q1"/>
    <mergeCell ref="U1:V1"/>
    <mergeCell ref="R1:R7"/>
    <mergeCell ref="S1:T1"/>
    <mergeCell ref="S2:S7"/>
    <mergeCell ref="T2:T7"/>
    <mergeCell ref="G1:H1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6473-6E88-4ADB-9C7C-8E6428F470CF}">
  <dimension ref="A1:V18"/>
  <sheetViews>
    <sheetView workbookViewId="0">
      <selection activeCell="Q8" sqref="Q8"/>
    </sheetView>
  </sheetViews>
  <sheetFormatPr defaultRowHeight="14" x14ac:dyDescent="0.3"/>
  <cols>
    <col min="10" max="20" width="11" customWidth="1"/>
  </cols>
  <sheetData>
    <row r="1" spans="1:22" ht="16.5" x14ac:dyDescent="0.3">
      <c r="A1" s="1" t="s">
        <v>0</v>
      </c>
      <c r="B1" s="1" t="s">
        <v>1</v>
      </c>
      <c r="C1" s="1"/>
      <c r="D1" s="30" t="s">
        <v>20</v>
      </c>
      <c r="E1" s="30" t="s">
        <v>25</v>
      </c>
      <c r="F1" s="30"/>
      <c r="G1" s="30" t="s">
        <v>26</v>
      </c>
      <c r="H1" s="30"/>
      <c r="I1" s="31" t="s">
        <v>27</v>
      </c>
      <c r="J1" s="30" t="s">
        <v>28</v>
      </c>
      <c r="K1" s="30"/>
      <c r="L1" s="30"/>
      <c r="M1" s="30"/>
      <c r="N1" s="30"/>
      <c r="O1" s="30"/>
      <c r="P1" s="30"/>
      <c r="Q1" s="30"/>
      <c r="R1" s="30" t="s">
        <v>34</v>
      </c>
      <c r="S1" s="30" t="s">
        <v>35</v>
      </c>
      <c r="T1" s="30"/>
      <c r="U1" s="30"/>
      <c r="V1" s="30"/>
    </row>
    <row r="2" spans="1:22" ht="16" x14ac:dyDescent="0.3">
      <c r="A2" s="1" t="s">
        <v>2</v>
      </c>
      <c r="B2" s="1">
        <v>200</v>
      </c>
      <c r="C2" s="1"/>
      <c r="D2" s="30"/>
      <c r="E2" s="1" t="s">
        <v>48</v>
      </c>
      <c r="F2" s="1" t="s">
        <v>49</v>
      </c>
      <c r="G2" s="1" t="s">
        <v>48</v>
      </c>
      <c r="H2" s="1" t="s">
        <v>49</v>
      </c>
      <c r="I2" s="30"/>
      <c r="J2" s="1" t="s">
        <v>23</v>
      </c>
      <c r="K2" s="1" t="s">
        <v>24</v>
      </c>
      <c r="L2" s="1" t="s">
        <v>50</v>
      </c>
      <c r="M2" s="1" t="s">
        <v>51</v>
      </c>
      <c r="N2" s="1" t="s">
        <v>32</v>
      </c>
      <c r="O2" s="1" t="s">
        <v>52</v>
      </c>
      <c r="P2" s="1" t="s">
        <v>53</v>
      </c>
      <c r="Q2" s="1" t="s">
        <v>54</v>
      </c>
      <c r="R2" s="30"/>
      <c r="S2" s="30" t="s">
        <v>36</v>
      </c>
      <c r="T2" s="30" t="s">
        <v>37</v>
      </c>
      <c r="U2" s="1"/>
      <c r="V2" s="1"/>
    </row>
    <row r="3" spans="1:22" x14ac:dyDescent="0.3">
      <c r="A3" s="1" t="s">
        <v>3</v>
      </c>
      <c r="B3" s="1">
        <v>200</v>
      </c>
      <c r="C3" s="1"/>
      <c r="D3" s="1" t="s">
        <v>14</v>
      </c>
      <c r="E3" s="1">
        <f>B10</f>
        <v>8</v>
      </c>
      <c r="F3" s="1">
        <f>B5</f>
        <v>100</v>
      </c>
      <c r="G3" s="1">
        <f>-B4+B10/2</f>
        <v>-46</v>
      </c>
      <c r="H3" s="1">
        <v>0</v>
      </c>
      <c r="I3" s="1">
        <f>E3*F3</f>
        <v>800</v>
      </c>
      <c r="J3" s="6">
        <f>E3*F3^3/12</f>
        <v>666666.66666666663</v>
      </c>
      <c r="K3" s="6">
        <f>E3^3*F3/12</f>
        <v>4266.666666666667</v>
      </c>
      <c r="L3" s="6">
        <f>J3+H3^2*I3</f>
        <v>666666.66666666663</v>
      </c>
      <c r="M3" s="6">
        <f>K3+G3^2*I3</f>
        <v>1697066.6666666667</v>
      </c>
      <c r="N3" s="6">
        <f>((B5/2)^2/2-(-B5/2)^2/2)*((-B4+B10)^2/2-(-B4)^2/2)</f>
        <v>0</v>
      </c>
      <c r="O3" s="6">
        <f>J3+(H3-$H$8)^2*I3</f>
        <v>3444456.5806596568</v>
      </c>
      <c r="P3" s="6">
        <f>K3+(G3-$G$8)^2*I3</f>
        <v>4531918.6850783061</v>
      </c>
      <c r="Q3" s="6">
        <f>N3+G3*H3*I3</f>
        <v>0</v>
      </c>
      <c r="R3" s="30"/>
      <c r="S3" s="30"/>
      <c r="T3" s="30"/>
      <c r="U3" s="5"/>
      <c r="V3" s="1"/>
    </row>
    <row r="4" spans="1:22" x14ac:dyDescent="0.3">
      <c r="A4" s="1" t="s">
        <v>11</v>
      </c>
      <c r="B4" s="1">
        <f>B6/2</f>
        <v>50</v>
      </c>
      <c r="C4" s="1"/>
      <c r="D4" s="1" t="s">
        <v>15</v>
      </c>
      <c r="E4" s="1">
        <f>B11</f>
        <v>8</v>
      </c>
      <c r="F4" s="1">
        <f>B6</f>
        <v>100</v>
      </c>
      <c r="G4" s="1">
        <f>B2-B4-B11/2</f>
        <v>146</v>
      </c>
      <c r="H4" s="1">
        <v>0</v>
      </c>
      <c r="I4" s="1">
        <f t="shared" ref="I4:I7" si="0">E4*F4</f>
        <v>800</v>
      </c>
      <c r="J4" s="6">
        <f t="shared" ref="J4:J7" si="1">E4*F4^3/12</f>
        <v>666666.66666666663</v>
      </c>
      <c r="K4" s="6">
        <f t="shared" ref="K4:K7" si="2">E4^3*F4/12</f>
        <v>4266.666666666667</v>
      </c>
      <c r="L4" s="6">
        <f t="shared" ref="L4:L7" si="3">J4+H4^2*I4</f>
        <v>666666.66666666663</v>
      </c>
      <c r="M4" s="6">
        <f t="shared" ref="M4:M7" si="4">K4+G4^2*I4</f>
        <v>17057066.666666668</v>
      </c>
      <c r="N4" s="6">
        <v>0</v>
      </c>
      <c r="O4" s="6">
        <f t="shared" ref="O4:O7" si="5">J4+(H4-$H$8)^2*I4</f>
        <v>3444456.5806596568</v>
      </c>
      <c r="P4" s="6">
        <f t="shared" ref="P4:P7" si="6">K4+(G4-$G$8)^2*I4</f>
        <v>10912437.933063982</v>
      </c>
      <c r="Q4" s="6">
        <f t="shared" ref="Q4:Q7" si="7">N4+G4*H4*I4</f>
        <v>0</v>
      </c>
      <c r="R4" s="30"/>
      <c r="S4" s="30"/>
      <c r="T4" s="30"/>
      <c r="U4" s="1"/>
      <c r="V4" s="1"/>
    </row>
    <row r="5" spans="1:22" x14ac:dyDescent="0.3">
      <c r="A5" s="1" t="s">
        <v>4</v>
      </c>
      <c r="B5" s="1">
        <v>100</v>
      </c>
      <c r="C5" s="1"/>
      <c r="D5" s="1" t="s">
        <v>16</v>
      </c>
      <c r="E5" s="1">
        <f>B7</f>
        <v>184</v>
      </c>
      <c r="F5" s="1">
        <f>B12</f>
        <v>5.5</v>
      </c>
      <c r="G5" s="1">
        <f>B2-B4-B11-(B2-B10-B11)/2</f>
        <v>50</v>
      </c>
      <c r="H5" s="1">
        <v>0</v>
      </c>
      <c r="I5" s="1">
        <f t="shared" si="0"/>
        <v>1012</v>
      </c>
      <c r="J5" s="6">
        <f t="shared" si="1"/>
        <v>2551.0833333333335</v>
      </c>
      <c r="K5" s="6">
        <f t="shared" si="2"/>
        <v>2855189.3333333335</v>
      </c>
      <c r="L5" s="6">
        <f t="shared" si="3"/>
        <v>2551.0833333333335</v>
      </c>
      <c r="M5" s="6">
        <f t="shared" si="4"/>
        <v>5385189.333333334</v>
      </c>
      <c r="N5" s="6">
        <v>0</v>
      </c>
      <c r="O5" s="6">
        <f t="shared" si="5"/>
        <v>3516455.3245344665</v>
      </c>
      <c r="P5" s="6">
        <f t="shared" si="6"/>
        <v>3291755.5609749975</v>
      </c>
      <c r="Q5" s="6">
        <f t="shared" si="7"/>
        <v>0</v>
      </c>
      <c r="R5" s="30"/>
      <c r="S5" s="30"/>
      <c r="T5" s="30"/>
      <c r="U5" s="1"/>
      <c r="V5" s="1"/>
    </row>
    <row r="6" spans="1:22" x14ac:dyDescent="0.3">
      <c r="A6" s="1" t="s">
        <v>5</v>
      </c>
      <c r="B6" s="1">
        <v>100</v>
      </c>
      <c r="C6" s="1"/>
      <c r="D6" s="1" t="s">
        <v>17</v>
      </c>
      <c r="E6" s="1">
        <f>B13</f>
        <v>5.5</v>
      </c>
      <c r="F6" s="1">
        <f>B8</f>
        <v>192</v>
      </c>
      <c r="G6" s="1">
        <v>0</v>
      </c>
      <c r="H6" s="1">
        <f>(B3-B14)/2+B12/2</f>
        <v>98.75</v>
      </c>
      <c r="I6" s="1">
        <f t="shared" si="0"/>
        <v>1056</v>
      </c>
      <c r="J6" s="6">
        <f t="shared" si="1"/>
        <v>3244032</v>
      </c>
      <c r="K6" s="6">
        <f t="shared" si="2"/>
        <v>2662</v>
      </c>
      <c r="L6" s="6">
        <f t="shared" si="3"/>
        <v>13541682</v>
      </c>
      <c r="M6" s="6">
        <f t="shared" si="4"/>
        <v>2662</v>
      </c>
      <c r="N6" s="6">
        <v>0</v>
      </c>
      <c r="O6" s="6">
        <f t="shared" si="5"/>
        <v>4918821.9828002006</v>
      </c>
      <c r="P6" s="6">
        <f t="shared" si="6"/>
        <v>904905.87647883419</v>
      </c>
      <c r="Q6" s="6">
        <f t="shared" si="7"/>
        <v>0</v>
      </c>
      <c r="R6" s="30"/>
      <c r="S6" s="30"/>
      <c r="T6" s="30"/>
      <c r="U6" s="1"/>
      <c r="V6" s="1"/>
    </row>
    <row r="7" spans="1:22" x14ac:dyDescent="0.3">
      <c r="A7" s="1" t="s">
        <v>45</v>
      </c>
      <c r="B7" s="1">
        <f>B2-B10-B11</f>
        <v>184</v>
      </c>
      <c r="C7" s="1"/>
      <c r="D7" s="1" t="s">
        <v>18</v>
      </c>
      <c r="E7" s="1">
        <f>B9</f>
        <v>100</v>
      </c>
      <c r="F7" s="1">
        <f>B14</f>
        <v>8</v>
      </c>
      <c r="G7" s="1">
        <v>0</v>
      </c>
      <c r="H7" s="1">
        <f>B3-B14/2+B12/2</f>
        <v>198.75</v>
      </c>
      <c r="I7" s="1">
        <f t="shared" si="0"/>
        <v>800</v>
      </c>
      <c r="J7" s="6">
        <f t="shared" si="1"/>
        <v>4266.666666666667</v>
      </c>
      <c r="K7" s="6">
        <f t="shared" si="2"/>
        <v>666666.66666666663</v>
      </c>
      <c r="L7" s="6">
        <f t="shared" si="3"/>
        <v>31605516.666666668</v>
      </c>
      <c r="M7" s="6">
        <f t="shared" si="4"/>
        <v>666666.66666666663</v>
      </c>
      <c r="N7" s="6">
        <v>0</v>
      </c>
      <c r="O7" s="6">
        <f t="shared" si="5"/>
        <v>15644935.945028504</v>
      </c>
      <c r="P7" s="6">
        <f t="shared" si="6"/>
        <v>1350184.7549082078</v>
      </c>
      <c r="Q7" s="6">
        <f t="shared" si="7"/>
        <v>0</v>
      </c>
      <c r="R7" s="30"/>
      <c r="S7" s="30"/>
      <c r="T7" s="30"/>
      <c r="U7" s="1"/>
      <c r="V7" s="1"/>
    </row>
    <row r="8" spans="1:22" x14ac:dyDescent="0.3">
      <c r="A8" s="1" t="s">
        <v>46</v>
      </c>
      <c r="B8" s="1">
        <f>B3-B14</f>
        <v>192</v>
      </c>
      <c r="C8" s="1"/>
      <c r="D8" s="1" t="s">
        <v>19</v>
      </c>
      <c r="E8" s="1">
        <f>B5/2+B13/2+B3</f>
        <v>252.75</v>
      </c>
      <c r="F8" s="1">
        <f>B2</f>
        <v>200</v>
      </c>
      <c r="G8" s="3">
        <f>(G3*I3+G4*I4+G5*I5+G6*I6+G7*I7)/I8</f>
        <v>29.230080572963296</v>
      </c>
      <c r="H8" s="3">
        <f>(H3*I3+H4*I4+H5*I5+H6*I6+H7*I7)/I8</f>
        <v>58.925693822739483</v>
      </c>
      <c r="I8" s="1">
        <f>SUM(I3:I7)</f>
        <v>4468</v>
      </c>
      <c r="J8" s="1" t="s">
        <v>29</v>
      </c>
      <c r="K8" s="1" t="s">
        <v>29</v>
      </c>
      <c r="L8" s="6">
        <f>SUM(L3:L7)</f>
        <v>46483083.083333336</v>
      </c>
      <c r="M8" s="6">
        <f>SUM(M3:M7)</f>
        <v>24808651.33333334</v>
      </c>
      <c r="N8" s="6">
        <f>SUM(N3:N7)</f>
        <v>0</v>
      </c>
      <c r="O8" s="6">
        <f t="shared" ref="O8:P8" si="8">SUM(O3:O7)</f>
        <v>30969126.413682483</v>
      </c>
      <c r="P8" s="6">
        <f t="shared" si="8"/>
        <v>20991202.810504328</v>
      </c>
      <c r="Q8" s="6">
        <f>N8-G8*H8*I8</f>
        <v>-7695695.6132497769</v>
      </c>
      <c r="R8" s="6">
        <f>(ATAN(-2*Q8/(O8-P8))/2)/PI()*180</f>
        <v>28.522742557603909</v>
      </c>
      <c r="S8" s="6">
        <f>(O8+P8)/2+0.5*((O8-P8)^2+4*Q8^2)^0.5</f>
        <v>35151504.254125357</v>
      </c>
      <c r="T8" s="6">
        <f>(O8+P8)/2-0.5*((O8-P8)^2+4*Q8^2)^0.5</f>
        <v>16808824.970061451</v>
      </c>
      <c r="U8" s="1"/>
      <c r="V8" s="1"/>
    </row>
    <row r="9" spans="1:22" x14ac:dyDescent="0.3">
      <c r="A9" s="1" t="s">
        <v>47</v>
      </c>
      <c r="B9" s="1">
        <f>B5</f>
        <v>100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4"/>
      <c r="R9" s="1"/>
      <c r="S9" s="1"/>
      <c r="T9" s="1"/>
      <c r="U9" s="1"/>
      <c r="V9" s="1"/>
    </row>
    <row r="10" spans="1:22" x14ac:dyDescent="0.3">
      <c r="A10" s="1" t="s">
        <v>6</v>
      </c>
      <c r="B10" s="1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1" t="s">
        <v>7</v>
      </c>
      <c r="B11" s="1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" t="s">
        <v>8</v>
      </c>
      <c r="B12" s="1">
        <v>5.5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1" t="s">
        <v>9</v>
      </c>
      <c r="B13" s="1">
        <v>5.5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 t="s">
        <v>10</v>
      </c>
      <c r="B14" s="1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 t="s">
        <v>40</v>
      </c>
      <c r="B15" s="3">
        <f>G8</f>
        <v>29.230080572963296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 t="s">
        <v>41</v>
      </c>
      <c r="B16" s="3">
        <f>H8</f>
        <v>58.925693822739483</v>
      </c>
    </row>
    <row r="17" spans="1:2" x14ac:dyDescent="0.3">
      <c r="A17" s="1" t="s">
        <v>42</v>
      </c>
      <c r="B17" s="1"/>
    </row>
    <row r="18" spans="1:2" x14ac:dyDescent="0.3">
      <c r="A18" s="1" t="s">
        <v>43</v>
      </c>
      <c r="B18" s="1"/>
    </row>
  </sheetData>
  <mergeCells count="10">
    <mergeCell ref="S1:T1"/>
    <mergeCell ref="U1:V1"/>
    <mergeCell ref="S2:S7"/>
    <mergeCell ref="T2:T7"/>
    <mergeCell ref="D1:D2"/>
    <mergeCell ref="E1:F1"/>
    <mergeCell ref="G1:H1"/>
    <mergeCell ref="I1:I2"/>
    <mergeCell ref="J1:Q1"/>
    <mergeCell ref="R1:R7"/>
  </mergeCells>
  <phoneticPr fontId="1" type="noConversion"/>
  <pageMargins left="0.7" right="0.7" top="0.75" bottom="0.75" header="0.3" footer="0.3"/>
  <ignoredErrors>
    <ignoredError sqref="E5:F5 E6:F6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FC0895BBB8824940B46E9ACF05925385" ma:contentTypeVersion="8" ma:contentTypeDescription="新建文档。" ma:contentTypeScope="" ma:versionID="8969fcaffb4837a9836cf291024535b4">
  <xsd:schema xmlns:xsd="http://www.w3.org/2001/XMLSchema" xmlns:xs="http://www.w3.org/2001/XMLSchema" xmlns:p="http://schemas.microsoft.com/office/2006/metadata/properties" xmlns:ns3="b95af589-7b40-4225-844d-02007e874105" targetNamespace="http://schemas.microsoft.com/office/2006/metadata/properties" ma:root="true" ma:fieldsID="3d846d28faf3939b162fce1bec668928" ns3:_="">
    <xsd:import namespace="b95af589-7b40-4225-844d-02007e8741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af589-7b40-4225-844d-02007e8741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89F7DE-20DB-4FD4-B674-8BBE6BA12724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b95af589-7b40-4225-844d-02007e874105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4FEBD12-192D-467D-8408-DFF0920B3F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A23AC8-05F9-4385-92D2-A0D738C073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5af589-7b40-4225-844d-02007e8741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L型柱截面几何参数计算</vt:lpstr>
      <vt:lpstr>Temp-1</vt:lpstr>
      <vt:lpstr>Temp-2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Delete</dc:creator>
  <cp:lastModifiedBy>minghan Ding</cp:lastModifiedBy>
  <dcterms:created xsi:type="dcterms:W3CDTF">2019-11-16T02:05:32Z</dcterms:created>
  <dcterms:modified xsi:type="dcterms:W3CDTF">2026-03-24T06:08:38Z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0x010100FC0895BBB8824940B46E9ACF05925385</vt:lpwstr>
  </property>
</Properties>
</file>