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ji\Desktop\"/>
    </mc:Choice>
  </mc:AlternateContent>
  <xr:revisionPtr revIDLastSave="0" documentId="8_{AE059043-23CA-4CB9-9055-A29469AC205D}" xr6:coauthVersionLast="47" xr6:coauthVersionMax="47" xr10:uidLastSave="{00000000-0000-0000-0000-000000000000}"/>
  <bookViews>
    <workbookView xWindow="-110" yWindow="-110" windowWidth="25820" windowHeight="15500" xr2:uid="{0AFBBDD3-7D1C-4BDF-B959-919655EDEBC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3" i="1" s="1"/>
  <c r="AC33" i="1"/>
  <c r="AC32" i="1"/>
  <c r="X31" i="1"/>
  <c r="X32" i="1" s="1"/>
  <c r="R31" i="1"/>
  <c r="R32" i="1" s="1"/>
  <c r="M31" i="1"/>
  <c r="M32" i="1" s="1"/>
  <c r="H31" i="1"/>
  <c r="H32" i="1" s="1"/>
  <c r="C31" i="1"/>
  <c r="C32" i="1" s="1"/>
  <c r="AC7" i="1"/>
  <c r="AH6" i="1"/>
  <c r="AC6" i="1"/>
  <c r="X7" i="1"/>
  <c r="X6" i="1"/>
  <c r="R7" i="1"/>
  <c r="R6" i="1"/>
  <c r="M7" i="1"/>
  <c r="M6" i="1"/>
  <c r="H7" i="1"/>
  <c r="H6" i="1"/>
  <c r="C7" i="1"/>
  <c r="C6" i="1"/>
</calcChain>
</file>

<file path=xl/sharedStrings.xml><?xml version="1.0" encoding="utf-8"?>
<sst xmlns="http://schemas.openxmlformats.org/spreadsheetml/2006/main" count="519" uniqueCount="87">
  <si>
    <t>名称</t>
    <phoneticPr fontId="1" type="noConversion"/>
  </si>
  <si>
    <t>基本参数</t>
    <phoneticPr fontId="1" type="noConversion"/>
  </si>
  <si>
    <t>单位制mm</t>
    <phoneticPr fontId="1" type="noConversion"/>
  </si>
  <si>
    <t>轴力试验值</t>
    <phoneticPr fontId="1" type="noConversion"/>
  </si>
  <si>
    <t>N</t>
    <phoneticPr fontId="1" type="noConversion"/>
  </si>
  <si>
    <t>极限弯矩值</t>
    <phoneticPr fontId="1" type="noConversion"/>
  </si>
  <si>
    <t>轴力设计值</t>
    <phoneticPr fontId="1" type="noConversion"/>
  </si>
  <si>
    <t>M</t>
    <phoneticPr fontId="1" type="noConversion"/>
  </si>
  <si>
    <t>kN</t>
    <phoneticPr fontId="1" type="noConversion"/>
  </si>
  <si>
    <t>kN*m</t>
    <phoneticPr fontId="1" type="noConversion"/>
  </si>
  <si>
    <t>Q355钢材抗力分项系数</t>
  </si>
  <si>
    <t>Mx</t>
    <phoneticPr fontId="1" type="noConversion"/>
  </si>
  <si>
    <t>E-LC1(单向偏心x轴)</t>
    <phoneticPr fontId="1" type="noConversion"/>
  </si>
  <si>
    <t>构件绕工程坐标系弯矩设计值</t>
    <phoneticPr fontId="1" type="noConversion"/>
  </si>
  <si>
    <t>构件绕形心主轴x弯矩设计值</t>
    <phoneticPr fontId="1" type="noConversion"/>
  </si>
  <si>
    <t>构件绕形心主轴y弯矩设计值</t>
    <phoneticPr fontId="1" type="noConversion"/>
  </si>
  <si>
    <t>My</t>
    <phoneticPr fontId="1" type="noConversion"/>
  </si>
  <si>
    <t>MY</t>
    <phoneticPr fontId="1" type="noConversion"/>
  </si>
  <si>
    <t>钢材设计强度</t>
  </si>
  <si>
    <t>f</t>
  </si>
  <si>
    <t>MPa</t>
  </si>
  <si>
    <t>截面积</t>
    <phoneticPr fontId="1" type="noConversion"/>
  </si>
  <si>
    <t>A</t>
    <phoneticPr fontId="1" type="noConversion"/>
  </si>
  <si>
    <t>x主惯性矩</t>
  </si>
  <si>
    <t>Ix</t>
  </si>
  <si>
    <t>y主惯性矩</t>
  </si>
  <si>
    <t>Iy</t>
  </si>
  <si>
    <t>扭转常数</t>
  </si>
  <si>
    <t>Ik</t>
  </si>
  <si>
    <t>翘曲常数</t>
  </si>
  <si>
    <t>Iw</t>
  </si>
  <si>
    <t>关于X轴不对称常数</t>
  </si>
  <si>
    <t>βx</t>
  </si>
  <si>
    <t>关于Y轴不对称常数</t>
  </si>
  <si>
    <t>βy</t>
  </si>
  <si>
    <t>形心主轴x截面模量</t>
  </si>
  <si>
    <t>Wx</t>
  </si>
  <si>
    <t>形心主轴y截面模量</t>
  </si>
  <si>
    <t>Wy</t>
  </si>
  <si>
    <t>杆长</t>
  </si>
  <si>
    <t>L</t>
  </si>
  <si>
    <t>mm</t>
  </si>
  <si>
    <t>截面塑性发展系数</t>
    <phoneticPr fontId="1" type="noConversion"/>
  </si>
  <si>
    <t>γx</t>
    <phoneticPr fontId="1" type="noConversion"/>
  </si>
  <si>
    <t>截面影响系数</t>
    <phoneticPr fontId="1" type="noConversion"/>
  </si>
  <si>
    <t>η</t>
  </si>
  <si>
    <t>等效弯矩系数</t>
    <phoneticPr fontId="1" type="noConversion"/>
  </si>
  <si>
    <t>βmy</t>
    <phoneticPr fontId="1" type="noConversion"/>
  </si>
  <si>
    <t>γy</t>
    <phoneticPr fontId="1" type="noConversion"/>
  </si>
  <si>
    <t>弹性模量</t>
  </si>
  <si>
    <t>E</t>
  </si>
  <si>
    <t>y轴受压构件稳定系数</t>
    <phoneticPr fontId="1" type="noConversion"/>
  </si>
  <si>
    <t>φy</t>
    <phoneticPr fontId="1" type="noConversion"/>
  </si>
  <si>
    <t>换算长细比</t>
  </si>
  <si>
    <t>λ</t>
  </si>
  <si>
    <t>λx</t>
  </si>
  <si>
    <t>λy</t>
  </si>
  <si>
    <t>大于1.0</t>
    <phoneticPr fontId="1" type="noConversion"/>
  </si>
  <si>
    <t>E-LC2(单向偏心x轴)</t>
    <phoneticPr fontId="1" type="noConversion"/>
  </si>
  <si>
    <t>E-LC3(单向偏心x轴)</t>
    <phoneticPr fontId="1" type="noConversion"/>
  </si>
  <si>
    <t>MX</t>
    <phoneticPr fontId="1" type="noConversion"/>
  </si>
  <si>
    <t>E-LC4(单向偏心Y轴)</t>
    <phoneticPr fontId="1" type="noConversion"/>
  </si>
  <si>
    <t>E-LC5(单向偏心Y轴)</t>
    <phoneticPr fontId="1" type="noConversion"/>
  </si>
  <si>
    <t>E-LC6(双向偏心)</t>
    <phoneticPr fontId="1" type="noConversion"/>
  </si>
  <si>
    <t>E-LC7(双向偏心)</t>
    <phoneticPr fontId="1" type="noConversion"/>
  </si>
  <si>
    <t>大于1.0</t>
  </si>
  <si>
    <t>型号</t>
    <phoneticPr fontId="1" type="noConversion"/>
  </si>
  <si>
    <t>E-LC1</t>
    <phoneticPr fontId="1" type="noConversion"/>
  </si>
  <si>
    <t>E-LC2</t>
  </si>
  <si>
    <t>E-LC3</t>
  </si>
  <si>
    <t>E-LC4</t>
  </si>
  <si>
    <t>E-LC5</t>
  </si>
  <si>
    <t>E-LC6</t>
  </si>
  <si>
    <t>E-LC7</t>
  </si>
  <si>
    <t>偏心形式</t>
    <phoneticPr fontId="1" type="noConversion"/>
  </si>
  <si>
    <t>单向偏心X轴</t>
    <phoneticPr fontId="1" type="noConversion"/>
  </si>
  <si>
    <t>单向偏心Y轴</t>
    <phoneticPr fontId="1" type="noConversion"/>
  </si>
  <si>
    <t>双向偏心</t>
    <phoneticPr fontId="1" type="noConversion"/>
  </si>
  <si>
    <t>偏心率</t>
    <phoneticPr fontId="1" type="noConversion"/>
  </si>
  <si>
    <t>0.23、0.43</t>
    <phoneticPr fontId="1" type="noConversion"/>
  </si>
  <si>
    <t>0.34、0.43</t>
    <phoneticPr fontId="1" type="noConversion"/>
  </si>
  <si>
    <t>试验值Pu/Kn</t>
    <phoneticPr fontId="1" type="noConversion"/>
  </si>
  <si>
    <t>极限弯矩Kn*m</t>
    <phoneticPr fontId="1" type="noConversion"/>
  </si>
  <si>
    <t>压弯构件稳定验算</t>
    <phoneticPr fontId="1" type="noConversion"/>
  </si>
  <si>
    <t>φbx</t>
    <phoneticPr fontId="1" type="noConversion"/>
  </si>
  <si>
    <t>x轴受弯构件稳定系数</t>
    <phoneticPr fontId="1" type="noConversion"/>
  </si>
  <si>
    <t>N'Ey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</si>
</sst>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mbria Math"/>
      <family val="1"/>
    </font>
    <font>
      <sz val="11"/>
      <color rgb="FFFF000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760639</xdr:colOff>
      <xdr:row>33</xdr:row>
      <xdr:rowOff>62593</xdr:rowOff>
    </xdr:from>
    <xdr:ext cx="6699899" cy="4362270"/>
    <xdr:pic>
      <xdr:nvPicPr>
        <xdr:cNvPr id="3" name="图片 2">
          <a:extLst>
            <a:ext uri="{FF2B5EF4-FFF2-40B4-BE49-F238E27FC236}">
              <a16:creationId xmlns:a16="http://schemas.microsoft.com/office/drawing/2014/main" id="{94D9ACC6-4197-0840-CF71-FE216E2D0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6639" y="6101443"/>
          <a:ext cx="6699899" cy="436227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13</xdr:col>
      <xdr:colOff>423181</xdr:colOff>
      <xdr:row>55</xdr:row>
      <xdr:rowOff>69396</xdr:rowOff>
    </xdr:from>
    <xdr:ext cx="3848637" cy="428685"/>
    <xdr:pic>
      <xdr:nvPicPr>
        <xdr:cNvPr id="5" name="图片 4">
          <a:extLst>
            <a:ext uri="{FF2B5EF4-FFF2-40B4-BE49-F238E27FC236}">
              <a16:creationId xmlns:a16="http://schemas.microsoft.com/office/drawing/2014/main" id="{30AE807B-C6F7-CF12-71BB-D94D0F5C0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68206" y="10099221"/>
          <a:ext cx="3848637" cy="4286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7EEA-8488-4543-B307-E09CEED99C7D}">
  <dimension ref="A1:AO40"/>
  <sheetViews>
    <sheetView showFormulas="1" tabSelected="1" zoomScale="77" zoomScaleNormal="100" workbookViewId="0">
      <selection activeCell="C36" sqref="C36"/>
    </sheetView>
  </sheetViews>
  <sheetFormatPr defaultColWidth="9" defaultRowHeight="14" x14ac:dyDescent="0.3"/>
  <cols>
    <col min="1" max="1" width="29.83203125" style="1" customWidth="1"/>
    <col min="2" max="2" width="18.25" style="1" customWidth="1"/>
    <col min="3" max="3" width="15.75" style="1" customWidth="1"/>
    <col min="4" max="5" width="9" style="1"/>
    <col min="6" max="6" width="29.83203125" style="1" customWidth="1"/>
    <col min="7" max="7" width="18.25" style="1" customWidth="1"/>
    <col min="8" max="8" width="15.75" style="1" customWidth="1"/>
    <col min="9" max="10" width="9" style="1"/>
    <col min="11" max="11" width="29.83203125" style="1" customWidth="1"/>
    <col min="12" max="12" width="18.25" style="1" customWidth="1"/>
    <col min="13" max="13" width="15.75" style="1" customWidth="1"/>
    <col min="14" max="15" width="9" style="1"/>
    <col min="16" max="16" width="29.83203125" style="1" customWidth="1"/>
    <col min="17" max="17" width="18.25" style="1" customWidth="1"/>
    <col min="18" max="18" width="15.75" style="1" customWidth="1"/>
    <col min="19" max="21" width="9" style="1"/>
    <col min="22" max="22" width="29.83203125" style="1" customWidth="1"/>
    <col min="23" max="23" width="18.25" style="1" customWidth="1"/>
    <col min="24" max="24" width="15.75" style="1" customWidth="1"/>
    <col min="25" max="26" width="9" style="1"/>
    <col min="27" max="27" width="29.83203125" style="1" customWidth="1"/>
    <col min="28" max="28" width="18.25" style="1" customWidth="1"/>
    <col min="29" max="29" width="15.75" style="1" customWidth="1"/>
    <col min="30" max="31" width="9" style="1"/>
    <col min="32" max="32" width="29.83203125" style="1" customWidth="1"/>
    <col min="33" max="33" width="18.25" style="1" customWidth="1"/>
    <col min="34" max="34" width="15.75" style="1" customWidth="1"/>
    <col min="35" max="37" width="9" style="1"/>
    <col min="38" max="38" width="29.83203125" style="1" customWidth="1"/>
    <col min="39" max="39" width="18.25" style="1" customWidth="1"/>
    <col min="40" max="40" width="15.75" style="1" customWidth="1"/>
    <col min="41" max="16384" width="9" style="1"/>
  </cols>
  <sheetData>
    <row r="1" spans="1:40" s="4" customFormat="1" x14ac:dyDescent="0.3">
      <c r="A1" s="8" t="s">
        <v>12</v>
      </c>
      <c r="B1" s="8"/>
      <c r="C1" s="8"/>
      <c r="F1" s="8" t="s">
        <v>58</v>
      </c>
      <c r="G1" s="8"/>
      <c r="H1" s="8"/>
      <c r="K1" s="8" t="s">
        <v>59</v>
      </c>
      <c r="L1" s="8"/>
      <c r="M1" s="8"/>
      <c r="P1" s="8" t="s">
        <v>61</v>
      </c>
      <c r="Q1" s="8"/>
      <c r="R1" s="8"/>
      <c r="V1" s="8" t="s">
        <v>62</v>
      </c>
      <c r="W1" s="8"/>
      <c r="X1" s="8"/>
      <c r="AA1" s="8" t="s">
        <v>63</v>
      </c>
      <c r="AB1" s="8"/>
      <c r="AC1" s="8"/>
      <c r="AF1" s="8" t="s">
        <v>64</v>
      </c>
      <c r="AG1" s="8"/>
      <c r="AH1" s="8"/>
      <c r="AL1" s="8"/>
      <c r="AM1" s="8"/>
      <c r="AN1" s="8"/>
    </row>
    <row r="2" spans="1:40" x14ac:dyDescent="0.3">
      <c r="A2" s="1" t="s">
        <v>0</v>
      </c>
      <c r="B2" s="1" t="s">
        <v>1</v>
      </c>
      <c r="C2" s="1" t="s">
        <v>2</v>
      </c>
      <c r="F2" s="1" t="s">
        <v>0</v>
      </c>
      <c r="G2" s="1" t="s">
        <v>1</v>
      </c>
      <c r="H2" s="1" t="s">
        <v>2</v>
      </c>
      <c r="K2" s="1" t="s">
        <v>0</v>
      </c>
      <c r="L2" s="1" t="s">
        <v>1</v>
      </c>
      <c r="M2" s="1" t="s">
        <v>2</v>
      </c>
      <c r="P2" s="1" t="s">
        <v>0</v>
      </c>
      <c r="Q2" s="1" t="s">
        <v>1</v>
      </c>
      <c r="R2" s="1" t="s">
        <v>2</v>
      </c>
      <c r="V2" s="1" t="s">
        <v>0</v>
      </c>
      <c r="W2" s="1" t="s">
        <v>1</v>
      </c>
      <c r="X2" s="1" t="s">
        <v>2</v>
      </c>
      <c r="AA2" s="1" t="s">
        <v>0</v>
      </c>
      <c r="AB2" s="1" t="s">
        <v>1</v>
      </c>
      <c r="AC2" s="1" t="s">
        <v>2</v>
      </c>
      <c r="AF2" s="1" t="s">
        <v>0</v>
      </c>
      <c r="AG2" s="1" t="s">
        <v>1</v>
      </c>
      <c r="AH2" s="1" t="s">
        <v>2</v>
      </c>
    </row>
    <row r="3" spans="1:40" x14ac:dyDescent="0.3">
      <c r="A3" s="1" t="s">
        <v>3</v>
      </c>
      <c r="B3" s="1" t="s">
        <v>4</v>
      </c>
      <c r="C3" s="1">
        <v>4188</v>
      </c>
      <c r="D3" s="1" t="s">
        <v>8</v>
      </c>
      <c r="F3" s="1" t="s">
        <v>3</v>
      </c>
      <c r="G3" s="1" t="s">
        <v>4</v>
      </c>
      <c r="H3" s="1">
        <v>3258</v>
      </c>
      <c r="I3" s="1" t="s">
        <v>8</v>
      </c>
      <c r="K3" s="1" t="s">
        <v>3</v>
      </c>
      <c r="L3" s="1" t="s">
        <v>4</v>
      </c>
      <c r="M3" s="1">
        <v>2687</v>
      </c>
      <c r="N3" s="1" t="s">
        <v>8</v>
      </c>
      <c r="P3" s="1" t="s">
        <v>3</v>
      </c>
      <c r="Q3" s="1" t="s">
        <v>4</v>
      </c>
      <c r="R3" s="1">
        <v>3311</v>
      </c>
      <c r="S3" s="1" t="s">
        <v>8</v>
      </c>
      <c r="V3" s="1" t="s">
        <v>3</v>
      </c>
      <c r="W3" s="1" t="s">
        <v>4</v>
      </c>
      <c r="X3" s="1">
        <v>2527</v>
      </c>
      <c r="Y3" s="1" t="s">
        <v>8</v>
      </c>
      <c r="AA3" s="1" t="s">
        <v>3</v>
      </c>
      <c r="AB3" s="1" t="s">
        <v>4</v>
      </c>
      <c r="AC3" s="1">
        <v>2319</v>
      </c>
      <c r="AD3" s="1" t="s">
        <v>8</v>
      </c>
      <c r="AF3" s="1" t="s">
        <v>3</v>
      </c>
      <c r="AG3" s="1" t="s">
        <v>4</v>
      </c>
      <c r="AH3" s="1">
        <v>2159</v>
      </c>
      <c r="AI3" s="1" t="s">
        <v>8</v>
      </c>
    </row>
    <row r="4" spans="1:40" x14ac:dyDescent="0.3">
      <c r="A4" s="1" t="s">
        <v>5</v>
      </c>
      <c r="B4" s="1" t="s">
        <v>7</v>
      </c>
      <c r="C4" s="1">
        <v>520.64</v>
      </c>
      <c r="D4" s="1" t="s">
        <v>9</v>
      </c>
      <c r="F4" s="1" t="s">
        <v>5</v>
      </c>
      <c r="G4" s="1" t="s">
        <v>7</v>
      </c>
      <c r="H4" s="1">
        <v>667.18</v>
      </c>
      <c r="I4" s="1" t="s">
        <v>9</v>
      </c>
      <c r="K4" s="1" t="s">
        <v>5</v>
      </c>
      <c r="L4" s="1" t="s">
        <v>7</v>
      </c>
      <c r="M4" s="1">
        <v>685.98</v>
      </c>
      <c r="N4" s="1" t="s">
        <v>9</v>
      </c>
      <c r="P4" s="1" t="s">
        <v>5</v>
      </c>
      <c r="Q4" s="1" t="s">
        <v>7</v>
      </c>
      <c r="R4" s="1">
        <v>568.5</v>
      </c>
      <c r="S4" s="1" t="s">
        <v>9</v>
      </c>
      <c r="V4" s="1" t="s">
        <v>5</v>
      </c>
      <c r="W4" s="1" t="s">
        <v>7</v>
      </c>
      <c r="X4" s="1">
        <v>622.23</v>
      </c>
      <c r="Y4" s="1" t="s">
        <v>9</v>
      </c>
      <c r="AA4" s="1" t="s">
        <v>5</v>
      </c>
      <c r="AB4" s="1" t="s">
        <v>7</v>
      </c>
      <c r="AC4" s="1">
        <v>533.67999999999995</v>
      </c>
      <c r="AD4" s="1" t="s">
        <v>9</v>
      </c>
      <c r="AF4" s="1" t="s">
        <v>5</v>
      </c>
      <c r="AG4" s="1" t="s">
        <v>7</v>
      </c>
      <c r="AH4" s="1">
        <v>475.38</v>
      </c>
      <c r="AI4" s="1" t="s">
        <v>9</v>
      </c>
    </row>
    <row r="5" spans="1:40" x14ac:dyDescent="0.3">
      <c r="A5" s="1" t="s">
        <v>10</v>
      </c>
      <c r="C5" s="1">
        <v>1.125</v>
      </c>
      <c r="F5" s="1" t="s">
        <v>10</v>
      </c>
      <c r="H5" s="1">
        <v>1.125</v>
      </c>
      <c r="K5" s="1" t="s">
        <v>10</v>
      </c>
      <c r="M5" s="1">
        <v>1.125</v>
      </c>
      <c r="P5" s="1" t="s">
        <v>10</v>
      </c>
      <c r="R5" s="1">
        <v>1.125</v>
      </c>
      <c r="V5" s="1" t="s">
        <v>10</v>
      </c>
      <c r="X5" s="1">
        <v>1.125</v>
      </c>
      <c r="AA5" s="1" t="s">
        <v>10</v>
      </c>
      <c r="AC5" s="1">
        <v>1.125</v>
      </c>
      <c r="AF5" s="1" t="s">
        <v>10</v>
      </c>
      <c r="AH5" s="1">
        <v>1.125</v>
      </c>
    </row>
    <row r="6" spans="1:40" x14ac:dyDescent="0.3">
      <c r="A6" s="1" t="s">
        <v>6</v>
      </c>
      <c r="B6" s="1" t="s">
        <v>4</v>
      </c>
      <c r="C6" s="1">
        <f>C3/C5</f>
        <v>3722.6666666666665</v>
      </c>
      <c r="D6" s="1" t="s">
        <v>8</v>
      </c>
      <c r="F6" s="1" t="s">
        <v>6</v>
      </c>
      <c r="G6" s="1" t="s">
        <v>4</v>
      </c>
      <c r="H6" s="1">
        <f>H3/H5</f>
        <v>2896</v>
      </c>
      <c r="I6" s="1" t="s">
        <v>8</v>
      </c>
      <c r="K6" s="1" t="s">
        <v>6</v>
      </c>
      <c r="L6" s="1" t="s">
        <v>4</v>
      </c>
      <c r="M6" s="1">
        <f>M3/M5</f>
        <v>2388.4444444444443</v>
      </c>
      <c r="N6" s="1" t="s">
        <v>8</v>
      </c>
      <c r="P6" s="1" t="s">
        <v>6</v>
      </c>
      <c r="Q6" s="1" t="s">
        <v>4</v>
      </c>
      <c r="R6" s="1">
        <f>R3/R5</f>
        <v>2943.1111111111113</v>
      </c>
      <c r="S6" s="1" t="s">
        <v>8</v>
      </c>
      <c r="V6" s="1" t="s">
        <v>6</v>
      </c>
      <c r="W6" s="1" t="s">
        <v>4</v>
      </c>
      <c r="X6" s="1">
        <f>X3/X5</f>
        <v>2246.2222222222222</v>
      </c>
      <c r="Y6" s="1" t="s">
        <v>8</v>
      </c>
      <c r="AA6" s="1" t="s">
        <v>6</v>
      </c>
      <c r="AB6" s="1" t="s">
        <v>4</v>
      </c>
      <c r="AC6" s="1">
        <f>AC3/AC5</f>
        <v>2061.3333333333335</v>
      </c>
      <c r="AD6" s="1" t="s">
        <v>8</v>
      </c>
      <c r="AF6" s="1" t="s">
        <v>6</v>
      </c>
      <c r="AG6" s="1" t="s">
        <v>4</v>
      </c>
      <c r="AH6" s="1">
        <f>AH3/AH5</f>
        <v>1919.1111111111111</v>
      </c>
      <c r="AI6" s="1" t="s">
        <v>8</v>
      </c>
    </row>
    <row r="7" spans="1:40" x14ac:dyDescent="0.3">
      <c r="A7" s="1" t="s">
        <v>13</v>
      </c>
      <c r="B7" s="1" t="s">
        <v>17</v>
      </c>
      <c r="C7" s="1">
        <f>C4/C5</f>
        <v>462.79111111111109</v>
      </c>
      <c r="D7" s="1" t="s">
        <v>9</v>
      </c>
      <c r="F7" s="1" t="s">
        <v>13</v>
      </c>
      <c r="G7" s="1" t="s">
        <v>17</v>
      </c>
      <c r="H7" s="1">
        <f>H4/H5</f>
        <v>593.04888888888888</v>
      </c>
      <c r="I7" s="1" t="s">
        <v>9</v>
      </c>
      <c r="K7" s="1" t="s">
        <v>13</v>
      </c>
      <c r="L7" s="1" t="s">
        <v>17</v>
      </c>
      <c r="M7" s="1">
        <f>M4/M5</f>
        <v>609.76</v>
      </c>
      <c r="N7" s="1" t="s">
        <v>9</v>
      </c>
      <c r="P7" s="1" t="s">
        <v>13</v>
      </c>
      <c r="Q7" s="1" t="s">
        <v>60</v>
      </c>
      <c r="R7" s="1">
        <f>R4/R5</f>
        <v>505.33333333333331</v>
      </c>
      <c r="S7" s="1" t="s">
        <v>9</v>
      </c>
      <c r="V7" s="1" t="s">
        <v>13</v>
      </c>
      <c r="W7" s="1" t="s">
        <v>60</v>
      </c>
      <c r="X7" s="1">
        <f>X4/X5</f>
        <v>553.09333333333336</v>
      </c>
      <c r="Y7" s="1" t="s">
        <v>9</v>
      </c>
      <c r="AA7" s="1" t="s">
        <v>13</v>
      </c>
      <c r="AB7" s="1" t="s">
        <v>60</v>
      </c>
      <c r="AC7" s="1">
        <f>AC4/AC5/2^(1/2)</f>
        <v>335.438886207677</v>
      </c>
      <c r="AD7" s="1" t="s">
        <v>9</v>
      </c>
      <c r="AF7" s="1" t="s">
        <v>13</v>
      </c>
      <c r="AG7" s="1" t="s">
        <v>60</v>
      </c>
      <c r="AH7" s="1">
        <v>393.99579999999997</v>
      </c>
      <c r="AI7" s="1" t="s">
        <v>9</v>
      </c>
    </row>
    <row r="8" spans="1:40" x14ac:dyDescent="0.3">
      <c r="A8" s="1" t="s">
        <v>14</v>
      </c>
      <c r="B8" s="1" t="s">
        <v>11</v>
      </c>
      <c r="C8" s="1">
        <v>450.00056591861244</v>
      </c>
      <c r="D8" s="1" t="s">
        <v>9</v>
      </c>
      <c r="F8" s="1" t="s">
        <v>14</v>
      </c>
      <c r="G8" s="1" t="s">
        <v>11</v>
      </c>
      <c r="H8" s="1">
        <v>524.61260423757301</v>
      </c>
      <c r="I8" s="1" t="s">
        <v>9</v>
      </c>
      <c r="K8" s="1" t="s">
        <v>14</v>
      </c>
      <c r="L8" s="1" t="s">
        <v>11</v>
      </c>
      <c r="M8" s="1">
        <v>539.3952970036429</v>
      </c>
      <c r="N8" s="1" t="s">
        <v>9</v>
      </c>
      <c r="P8" s="1" t="s">
        <v>14</v>
      </c>
      <c r="Q8" s="1" t="s">
        <v>11</v>
      </c>
      <c r="R8" s="1">
        <v>235.65996357919803</v>
      </c>
      <c r="S8" s="1" t="s">
        <v>9</v>
      </c>
      <c r="V8" s="1" t="s">
        <v>14</v>
      </c>
      <c r="W8" s="1" t="s">
        <v>11</v>
      </c>
      <c r="X8" s="1">
        <v>257.93262821087848</v>
      </c>
      <c r="Y8" s="1" t="s">
        <v>9</v>
      </c>
      <c r="AA8" s="1" t="s">
        <v>13</v>
      </c>
      <c r="AB8" s="1" t="s">
        <v>17</v>
      </c>
      <c r="AC8" s="1">
        <v>335.438886207677</v>
      </c>
      <c r="AF8" s="1" t="s">
        <v>13</v>
      </c>
      <c r="AG8" s="1" t="s">
        <v>17</v>
      </c>
      <c r="AH8" s="1">
        <v>266.00959999999998</v>
      </c>
    </row>
    <row r="9" spans="1:40" x14ac:dyDescent="0.3">
      <c r="A9" s="1" t="s">
        <v>15</v>
      </c>
      <c r="B9" s="1" t="s">
        <v>16</v>
      </c>
      <c r="C9" s="1">
        <v>108.051391459737</v>
      </c>
      <c r="D9" s="1" t="s">
        <v>9</v>
      </c>
      <c r="F9" s="1" t="s">
        <v>15</v>
      </c>
      <c r="G9" s="1" t="s">
        <v>16</v>
      </c>
      <c r="H9" s="1">
        <v>276.56572471551345</v>
      </c>
      <c r="I9" s="1" t="s">
        <v>9</v>
      </c>
      <c r="K9" s="1" t="s">
        <v>15</v>
      </c>
      <c r="L9" s="1" t="s">
        <v>16</v>
      </c>
      <c r="M9" s="1">
        <v>284.35887742490502</v>
      </c>
      <c r="N9" s="1" t="s">
        <v>9</v>
      </c>
      <c r="P9" s="1" t="s">
        <v>15</v>
      </c>
      <c r="Q9" s="1" t="s">
        <v>16</v>
      </c>
      <c r="R9" s="1">
        <v>447.01919348460734</v>
      </c>
      <c r="S9" s="1" t="s">
        <v>9</v>
      </c>
      <c r="V9" s="1" t="s">
        <v>15</v>
      </c>
      <c r="W9" s="1" t="s">
        <v>16</v>
      </c>
      <c r="X9" s="1">
        <v>489.26781488465656</v>
      </c>
      <c r="Y9" s="1" t="s">
        <v>9</v>
      </c>
      <c r="AA9" s="1" t="s">
        <v>14</v>
      </c>
      <c r="AB9" s="1" t="s">
        <v>11</v>
      </c>
      <c r="AC9" s="1">
        <v>453.16055953036681</v>
      </c>
      <c r="AD9" s="1" t="s">
        <v>9</v>
      </c>
      <c r="AF9" s="1" t="s">
        <v>14</v>
      </c>
      <c r="AG9" s="1" t="s">
        <v>11</v>
      </c>
      <c r="AH9" s="1">
        <v>419.05098825102903</v>
      </c>
      <c r="AI9" s="1" t="s">
        <v>9</v>
      </c>
    </row>
    <row r="10" spans="1:40" x14ac:dyDescent="0.3">
      <c r="A10" s="1" t="s">
        <v>49</v>
      </c>
      <c r="B10" s="1" t="s">
        <v>50</v>
      </c>
      <c r="C10" s="1">
        <v>206000</v>
      </c>
      <c r="D10" s="1" t="s">
        <v>20</v>
      </c>
      <c r="F10" s="1" t="s">
        <v>49</v>
      </c>
      <c r="G10" s="1" t="s">
        <v>50</v>
      </c>
      <c r="H10" s="1">
        <v>206000</v>
      </c>
      <c r="I10" s="1" t="s">
        <v>20</v>
      </c>
      <c r="K10" s="1" t="s">
        <v>49</v>
      </c>
      <c r="L10" s="1" t="s">
        <v>50</v>
      </c>
      <c r="M10" s="1">
        <v>206000</v>
      </c>
      <c r="N10" s="1" t="s">
        <v>20</v>
      </c>
      <c r="P10" s="1" t="s">
        <v>49</v>
      </c>
      <c r="Q10" s="1" t="s">
        <v>50</v>
      </c>
      <c r="R10" s="1">
        <v>206000</v>
      </c>
      <c r="S10" s="1" t="s">
        <v>20</v>
      </c>
      <c r="V10" s="1" t="s">
        <v>49</v>
      </c>
      <c r="W10" s="1" t="s">
        <v>50</v>
      </c>
      <c r="X10" s="1">
        <v>206000</v>
      </c>
      <c r="Y10" s="1" t="s">
        <v>20</v>
      </c>
      <c r="AA10" s="1" t="s">
        <v>15</v>
      </c>
      <c r="AB10" s="1" t="s">
        <v>16</v>
      </c>
      <c r="AC10" s="1">
        <v>140.29967942450429</v>
      </c>
      <c r="AD10" s="1" t="s">
        <v>9</v>
      </c>
      <c r="AF10" s="1" t="s">
        <v>15</v>
      </c>
      <c r="AG10" s="1" t="s">
        <v>16</v>
      </c>
      <c r="AH10" s="1">
        <v>224.4773194682169</v>
      </c>
      <c r="AI10" s="1" t="s">
        <v>9</v>
      </c>
    </row>
    <row r="11" spans="1:40" x14ac:dyDescent="0.3">
      <c r="A11" s="1" t="s">
        <v>18</v>
      </c>
      <c r="B11" s="1" t="s">
        <v>19</v>
      </c>
      <c r="C11" s="1">
        <v>305</v>
      </c>
      <c r="D11" s="1" t="s">
        <v>20</v>
      </c>
      <c r="F11" s="1" t="s">
        <v>18</v>
      </c>
      <c r="G11" s="1" t="s">
        <v>19</v>
      </c>
      <c r="H11" s="1">
        <v>305</v>
      </c>
      <c r="I11" s="1" t="s">
        <v>20</v>
      </c>
      <c r="K11" s="1" t="s">
        <v>18</v>
      </c>
      <c r="L11" s="1" t="s">
        <v>19</v>
      </c>
      <c r="M11" s="1">
        <v>305</v>
      </c>
      <c r="N11" s="1" t="s">
        <v>20</v>
      </c>
      <c r="P11" s="1" t="s">
        <v>18</v>
      </c>
      <c r="Q11" s="1" t="s">
        <v>19</v>
      </c>
      <c r="R11" s="1">
        <v>305</v>
      </c>
      <c r="S11" s="1" t="s">
        <v>20</v>
      </c>
      <c r="V11" s="1" t="s">
        <v>18</v>
      </c>
      <c r="W11" s="1" t="s">
        <v>19</v>
      </c>
      <c r="X11" s="1">
        <v>305</v>
      </c>
      <c r="Y11" s="1" t="s">
        <v>20</v>
      </c>
      <c r="AA11" s="1" t="s">
        <v>49</v>
      </c>
      <c r="AB11" s="1" t="s">
        <v>50</v>
      </c>
      <c r="AC11" s="1">
        <v>206000</v>
      </c>
      <c r="AD11" s="1" t="s">
        <v>20</v>
      </c>
      <c r="AF11" s="1" t="s">
        <v>49</v>
      </c>
      <c r="AG11" s="1" t="s">
        <v>50</v>
      </c>
      <c r="AH11" s="1">
        <v>206000</v>
      </c>
      <c r="AI11" s="1" t="s">
        <v>20</v>
      </c>
    </row>
    <row r="12" spans="1:40" x14ac:dyDescent="0.3">
      <c r="A12" s="1" t="s">
        <v>21</v>
      </c>
      <c r="B12" s="1" t="s">
        <v>22</v>
      </c>
      <c r="C12" s="1">
        <v>18494</v>
      </c>
      <c r="F12" s="1" t="s">
        <v>21</v>
      </c>
      <c r="G12" s="1" t="s">
        <v>22</v>
      </c>
      <c r="H12" s="1">
        <v>18494</v>
      </c>
      <c r="K12" s="1" t="s">
        <v>21</v>
      </c>
      <c r="L12" s="1" t="s">
        <v>22</v>
      </c>
      <c r="M12" s="1">
        <v>18494</v>
      </c>
      <c r="P12" s="1" t="s">
        <v>21</v>
      </c>
      <c r="Q12" s="1" t="s">
        <v>22</v>
      </c>
      <c r="R12" s="1">
        <v>18494</v>
      </c>
      <c r="V12" s="1" t="s">
        <v>21</v>
      </c>
      <c r="W12" s="1" t="s">
        <v>22</v>
      </c>
      <c r="X12" s="1">
        <v>18494</v>
      </c>
      <c r="AA12" s="1" t="s">
        <v>18</v>
      </c>
      <c r="AB12" s="1" t="s">
        <v>19</v>
      </c>
      <c r="AC12" s="1">
        <v>305</v>
      </c>
      <c r="AD12" s="1" t="s">
        <v>20</v>
      </c>
      <c r="AF12" s="1" t="s">
        <v>18</v>
      </c>
      <c r="AG12" s="1" t="s">
        <v>19</v>
      </c>
      <c r="AH12" s="1">
        <v>305</v>
      </c>
      <c r="AI12" s="1" t="s">
        <v>20</v>
      </c>
    </row>
    <row r="13" spans="1:40" x14ac:dyDescent="0.3">
      <c r="A13" s="1" t="s">
        <v>39</v>
      </c>
      <c r="B13" s="1" t="s">
        <v>40</v>
      </c>
      <c r="C13" s="1">
        <v>4420</v>
      </c>
      <c r="D13" s="1" t="s">
        <v>41</v>
      </c>
      <c r="F13" s="1" t="s">
        <v>39</v>
      </c>
      <c r="G13" s="1" t="s">
        <v>40</v>
      </c>
      <c r="H13" s="1">
        <v>4420</v>
      </c>
      <c r="I13" s="1" t="s">
        <v>41</v>
      </c>
      <c r="K13" s="1" t="s">
        <v>39</v>
      </c>
      <c r="L13" s="1" t="s">
        <v>40</v>
      </c>
      <c r="M13" s="1">
        <v>4420</v>
      </c>
      <c r="N13" s="1" t="s">
        <v>41</v>
      </c>
      <c r="P13" s="1" t="s">
        <v>39</v>
      </c>
      <c r="Q13" s="1" t="s">
        <v>40</v>
      </c>
      <c r="R13" s="1">
        <v>4420</v>
      </c>
      <c r="S13" s="1" t="s">
        <v>41</v>
      </c>
      <c r="V13" s="1" t="s">
        <v>39</v>
      </c>
      <c r="W13" s="1" t="s">
        <v>40</v>
      </c>
      <c r="X13" s="1">
        <v>4420</v>
      </c>
      <c r="Y13" s="1" t="s">
        <v>41</v>
      </c>
      <c r="AA13" s="1" t="s">
        <v>21</v>
      </c>
      <c r="AB13" s="1" t="s">
        <v>22</v>
      </c>
      <c r="AC13" s="1">
        <v>18494</v>
      </c>
      <c r="AF13" s="1" t="s">
        <v>21</v>
      </c>
      <c r="AG13" s="1" t="s">
        <v>22</v>
      </c>
      <c r="AH13" s="1">
        <v>18494</v>
      </c>
    </row>
    <row r="14" spans="1:40" x14ac:dyDescent="0.3">
      <c r="A14" s="1" t="s">
        <v>23</v>
      </c>
      <c r="B14" s="1" t="s">
        <v>24</v>
      </c>
      <c r="C14" s="1">
        <v>434951975.69410092</v>
      </c>
      <c r="F14" s="1" t="s">
        <v>23</v>
      </c>
      <c r="G14" s="1" t="s">
        <v>24</v>
      </c>
      <c r="H14" s="1">
        <v>434951975.69410092</v>
      </c>
      <c r="K14" s="1" t="s">
        <v>23</v>
      </c>
      <c r="L14" s="1" t="s">
        <v>24</v>
      </c>
      <c r="M14" s="1">
        <v>434951975.69410092</v>
      </c>
      <c r="P14" s="1" t="s">
        <v>23</v>
      </c>
      <c r="Q14" s="1" t="s">
        <v>24</v>
      </c>
      <c r="R14" s="1">
        <v>434951975.69410092</v>
      </c>
      <c r="V14" s="1" t="s">
        <v>23</v>
      </c>
      <c r="W14" s="1" t="s">
        <v>24</v>
      </c>
      <c r="X14" s="1">
        <v>434951975.69410092</v>
      </c>
      <c r="AA14" s="1" t="s">
        <v>39</v>
      </c>
      <c r="AB14" s="1" t="s">
        <v>40</v>
      </c>
      <c r="AC14" s="1">
        <v>4420</v>
      </c>
      <c r="AD14" s="1" t="s">
        <v>41</v>
      </c>
      <c r="AF14" s="1" t="s">
        <v>39</v>
      </c>
      <c r="AG14" s="1" t="s">
        <v>40</v>
      </c>
      <c r="AH14" s="1">
        <v>4420</v>
      </c>
      <c r="AI14" s="1" t="s">
        <v>41</v>
      </c>
    </row>
    <row r="15" spans="1:40" x14ac:dyDescent="0.3">
      <c r="A15" s="1" t="s">
        <v>25</v>
      </c>
      <c r="B15" s="1" t="s">
        <v>26</v>
      </c>
      <c r="C15" s="1">
        <v>201839459.16194242</v>
      </c>
      <c r="F15" s="1" t="s">
        <v>25</v>
      </c>
      <c r="G15" s="1" t="s">
        <v>26</v>
      </c>
      <c r="H15" s="1">
        <v>201839459.16194242</v>
      </c>
      <c r="K15" s="1" t="s">
        <v>25</v>
      </c>
      <c r="L15" s="1" t="s">
        <v>26</v>
      </c>
      <c r="M15" s="1">
        <v>201839459.16194242</v>
      </c>
      <c r="P15" s="1" t="s">
        <v>25</v>
      </c>
      <c r="Q15" s="1" t="s">
        <v>26</v>
      </c>
      <c r="R15" s="1">
        <v>201839459.16194242</v>
      </c>
      <c r="V15" s="1" t="s">
        <v>25</v>
      </c>
      <c r="W15" s="1" t="s">
        <v>26</v>
      </c>
      <c r="X15" s="1">
        <v>201839459.16194242</v>
      </c>
      <c r="AA15" s="1" t="s">
        <v>23</v>
      </c>
      <c r="AB15" s="1" t="s">
        <v>24</v>
      </c>
      <c r="AC15" s="1">
        <v>434951975.69410092</v>
      </c>
      <c r="AF15" s="1" t="s">
        <v>23</v>
      </c>
      <c r="AG15" s="1" t="s">
        <v>24</v>
      </c>
      <c r="AH15" s="1">
        <v>434951975.69410092</v>
      </c>
    </row>
    <row r="16" spans="1:40" x14ac:dyDescent="0.3">
      <c r="A16" s="1" t="s">
        <v>27</v>
      </c>
      <c r="B16" s="1" t="s">
        <v>28</v>
      </c>
      <c r="C16" s="1">
        <v>1611474.6666666667</v>
      </c>
      <c r="F16" s="1" t="s">
        <v>27</v>
      </c>
      <c r="G16" s="1" t="s">
        <v>28</v>
      </c>
      <c r="H16" s="1">
        <v>1611474.6666666667</v>
      </c>
      <c r="K16" s="1" t="s">
        <v>27</v>
      </c>
      <c r="L16" s="1" t="s">
        <v>28</v>
      </c>
      <c r="M16" s="1">
        <v>1611474.6666666667</v>
      </c>
      <c r="P16" s="1" t="s">
        <v>27</v>
      </c>
      <c r="Q16" s="1" t="s">
        <v>28</v>
      </c>
      <c r="R16" s="1">
        <v>1611474.6666666667</v>
      </c>
      <c r="V16" s="1" t="s">
        <v>27</v>
      </c>
      <c r="W16" s="1" t="s">
        <v>28</v>
      </c>
      <c r="X16" s="1">
        <v>1611474.6666666667</v>
      </c>
      <c r="AA16" s="1" t="s">
        <v>25</v>
      </c>
      <c r="AB16" s="1" t="s">
        <v>26</v>
      </c>
      <c r="AC16" s="1">
        <v>201839459.16194242</v>
      </c>
      <c r="AF16" s="1" t="s">
        <v>25</v>
      </c>
      <c r="AG16" s="1" t="s">
        <v>26</v>
      </c>
      <c r="AH16" s="1">
        <v>201839459.16194242</v>
      </c>
    </row>
    <row r="17" spans="1:34" x14ac:dyDescent="0.3">
      <c r="A17" s="1" t="s">
        <v>29</v>
      </c>
      <c r="B17" s="1" t="s">
        <v>30</v>
      </c>
      <c r="C17" s="1">
        <v>1509267318274.5798</v>
      </c>
      <c r="F17" s="1" t="s">
        <v>29</v>
      </c>
      <c r="G17" s="1" t="s">
        <v>30</v>
      </c>
      <c r="H17" s="1">
        <v>1509267318274.5798</v>
      </c>
      <c r="K17" s="1" t="s">
        <v>29</v>
      </c>
      <c r="L17" s="1" t="s">
        <v>30</v>
      </c>
      <c r="M17" s="1">
        <v>1509267318274.5798</v>
      </c>
      <c r="P17" s="1" t="s">
        <v>29</v>
      </c>
      <c r="Q17" s="1" t="s">
        <v>30</v>
      </c>
      <c r="R17" s="1">
        <v>1509267318274.5798</v>
      </c>
      <c r="V17" s="1" t="s">
        <v>29</v>
      </c>
      <c r="W17" s="1" t="s">
        <v>30</v>
      </c>
      <c r="X17" s="1">
        <v>1509267318274.5798</v>
      </c>
      <c r="AA17" s="1" t="s">
        <v>27</v>
      </c>
      <c r="AB17" s="1" t="s">
        <v>28</v>
      </c>
      <c r="AC17" s="1">
        <v>1611474.6666666667</v>
      </c>
      <c r="AF17" s="1" t="s">
        <v>27</v>
      </c>
      <c r="AG17" s="1" t="s">
        <v>28</v>
      </c>
      <c r="AH17" s="1">
        <v>1611474.6666666667</v>
      </c>
    </row>
    <row r="18" spans="1:34" x14ac:dyDescent="0.3">
      <c r="A18" s="1" t="s">
        <v>31</v>
      </c>
      <c r="B18" s="1" t="s">
        <v>32</v>
      </c>
      <c r="C18" s="1">
        <v>145.17024743451827</v>
      </c>
      <c r="F18" s="1" t="s">
        <v>31</v>
      </c>
      <c r="G18" s="1" t="s">
        <v>32</v>
      </c>
      <c r="H18" s="1">
        <v>145.17024743451827</v>
      </c>
      <c r="K18" s="1" t="s">
        <v>31</v>
      </c>
      <c r="L18" s="1" t="s">
        <v>32</v>
      </c>
      <c r="M18" s="1">
        <v>145.17024743451827</v>
      </c>
      <c r="P18" s="1" t="s">
        <v>31</v>
      </c>
      <c r="Q18" s="1" t="s">
        <v>32</v>
      </c>
      <c r="R18" s="1">
        <v>145.17024743451827</v>
      </c>
      <c r="V18" s="1" t="s">
        <v>31</v>
      </c>
      <c r="W18" s="1" t="s">
        <v>32</v>
      </c>
      <c r="X18" s="1">
        <v>145.17024743451827</v>
      </c>
      <c r="AA18" s="1" t="s">
        <v>29</v>
      </c>
      <c r="AB18" s="1" t="s">
        <v>30</v>
      </c>
      <c r="AC18" s="1">
        <v>1509267318274.5798</v>
      </c>
      <c r="AF18" s="1" t="s">
        <v>29</v>
      </c>
      <c r="AG18" s="1" t="s">
        <v>30</v>
      </c>
      <c r="AH18" s="1">
        <v>1509267318274.5798</v>
      </c>
    </row>
    <row r="19" spans="1:34" x14ac:dyDescent="0.3">
      <c r="A19" s="1" t="s">
        <v>33</v>
      </c>
      <c r="B19" s="1" t="s">
        <v>34</v>
      </c>
      <c r="C19" s="1">
        <v>74.633949296896688</v>
      </c>
      <c r="F19" s="1" t="s">
        <v>33</v>
      </c>
      <c r="G19" s="1" t="s">
        <v>34</v>
      </c>
      <c r="H19" s="1">
        <v>74.633949296896688</v>
      </c>
      <c r="K19" s="1" t="s">
        <v>33</v>
      </c>
      <c r="L19" s="1" t="s">
        <v>34</v>
      </c>
      <c r="M19" s="1">
        <v>74.633949296896688</v>
      </c>
      <c r="P19" s="1" t="s">
        <v>33</v>
      </c>
      <c r="Q19" s="1" t="s">
        <v>34</v>
      </c>
      <c r="R19" s="1">
        <v>74.633949296896688</v>
      </c>
      <c r="V19" s="1" t="s">
        <v>33</v>
      </c>
      <c r="W19" s="1" t="s">
        <v>34</v>
      </c>
      <c r="X19" s="1">
        <v>74.633949296896688</v>
      </c>
      <c r="AA19" s="1" t="s">
        <v>31</v>
      </c>
      <c r="AB19" s="1" t="s">
        <v>32</v>
      </c>
      <c r="AC19" s="1">
        <v>145.17024743451827</v>
      </c>
      <c r="AF19" s="1" t="s">
        <v>31</v>
      </c>
      <c r="AG19" s="1" t="s">
        <v>32</v>
      </c>
      <c r="AH19" s="1">
        <v>145.17024743451827</v>
      </c>
    </row>
    <row r="20" spans="1:34" x14ac:dyDescent="0.3">
      <c r="A20" s="1" t="s">
        <v>35</v>
      </c>
      <c r="B20" s="1" t="s">
        <v>36</v>
      </c>
      <c r="C20" s="1">
        <v>1503396.0093159094</v>
      </c>
      <c r="F20" s="1" t="s">
        <v>35</v>
      </c>
      <c r="G20" s="1" t="s">
        <v>36</v>
      </c>
      <c r="H20" s="1">
        <v>1503396.0093159094</v>
      </c>
      <c r="K20" s="1" t="s">
        <v>35</v>
      </c>
      <c r="L20" s="1" t="s">
        <v>36</v>
      </c>
      <c r="M20" s="1">
        <v>1503396.0093159094</v>
      </c>
      <c r="P20" s="1" t="s">
        <v>35</v>
      </c>
      <c r="Q20" s="1" t="s">
        <v>36</v>
      </c>
      <c r="R20" s="1">
        <v>1503396.0093159094</v>
      </c>
      <c r="V20" s="1" t="s">
        <v>35</v>
      </c>
      <c r="W20" s="1" t="s">
        <v>36</v>
      </c>
      <c r="X20" s="1">
        <v>1503396.0093159094</v>
      </c>
      <c r="AA20" s="1" t="s">
        <v>33</v>
      </c>
      <c r="AB20" s="1" t="s">
        <v>34</v>
      </c>
      <c r="AC20" s="1">
        <v>74.633949296896688</v>
      </c>
      <c r="AF20" s="1" t="s">
        <v>33</v>
      </c>
      <c r="AG20" s="1" t="s">
        <v>34</v>
      </c>
      <c r="AH20" s="1">
        <v>74.633949296896688</v>
      </c>
    </row>
    <row r="21" spans="1:34" x14ac:dyDescent="0.3">
      <c r="A21" s="1" t="s">
        <v>37</v>
      </c>
      <c r="B21" s="1" t="s">
        <v>38</v>
      </c>
      <c r="C21" s="1">
        <v>957075.12411876</v>
      </c>
      <c r="F21" s="1" t="s">
        <v>37</v>
      </c>
      <c r="G21" s="1" t="s">
        <v>38</v>
      </c>
      <c r="H21" s="1">
        <v>957075.12411876</v>
      </c>
      <c r="K21" s="1" t="s">
        <v>37</v>
      </c>
      <c r="L21" s="1" t="s">
        <v>38</v>
      </c>
      <c r="M21" s="1">
        <v>957075.12411876</v>
      </c>
      <c r="P21" s="1" t="s">
        <v>37</v>
      </c>
      <c r="Q21" s="1" t="s">
        <v>38</v>
      </c>
      <c r="R21" s="1">
        <v>957075.12411876</v>
      </c>
      <c r="V21" s="1" t="s">
        <v>37</v>
      </c>
      <c r="W21" s="1" t="s">
        <v>38</v>
      </c>
      <c r="X21" s="1">
        <v>957075.12411876</v>
      </c>
      <c r="AA21" s="1" t="s">
        <v>35</v>
      </c>
      <c r="AB21" s="1" t="s">
        <v>36</v>
      </c>
      <c r="AC21" s="1">
        <v>1503396.0093159094</v>
      </c>
      <c r="AF21" s="1" t="s">
        <v>35</v>
      </c>
      <c r="AG21" s="1" t="s">
        <v>36</v>
      </c>
      <c r="AH21" s="1">
        <v>1503396.0093159094</v>
      </c>
    </row>
    <row r="22" spans="1:34" x14ac:dyDescent="0.3">
      <c r="A22" s="1" t="s">
        <v>53</v>
      </c>
      <c r="B22" s="1" t="s">
        <v>54</v>
      </c>
      <c r="C22" s="1">
        <v>71.647244839835295</v>
      </c>
      <c r="F22" s="1" t="s">
        <v>53</v>
      </c>
      <c r="G22" s="1" t="s">
        <v>54</v>
      </c>
      <c r="H22" s="1">
        <v>71.647244839835295</v>
      </c>
      <c r="K22" s="1" t="s">
        <v>53</v>
      </c>
      <c r="L22" s="1" t="s">
        <v>54</v>
      </c>
      <c r="M22" s="1">
        <v>71.647244839835295</v>
      </c>
      <c r="P22" s="1" t="s">
        <v>53</v>
      </c>
      <c r="Q22" s="1" t="s">
        <v>54</v>
      </c>
      <c r="R22" s="1">
        <v>71.647244839835295</v>
      </c>
      <c r="V22" s="1" t="s">
        <v>53</v>
      </c>
      <c r="W22" s="1" t="s">
        <v>54</v>
      </c>
      <c r="X22" s="1">
        <v>71.647244839835295</v>
      </c>
      <c r="AA22" s="1" t="s">
        <v>37</v>
      </c>
      <c r="AB22" s="1" t="s">
        <v>38</v>
      </c>
      <c r="AC22" s="1">
        <v>957075.12411876</v>
      </c>
      <c r="AF22" s="1" t="s">
        <v>37</v>
      </c>
      <c r="AG22" s="1" t="s">
        <v>38</v>
      </c>
      <c r="AH22" s="1">
        <v>957075.12411876</v>
      </c>
    </row>
    <row r="23" spans="1:34" x14ac:dyDescent="0.3">
      <c r="A23" s="1" t="s">
        <v>53</v>
      </c>
      <c r="B23" s="1" t="s">
        <v>55</v>
      </c>
      <c r="C23" s="1">
        <v>28.821530683573961</v>
      </c>
      <c r="F23" s="1" t="s">
        <v>53</v>
      </c>
      <c r="G23" s="1" t="s">
        <v>55</v>
      </c>
      <c r="H23" s="1">
        <v>28.821530683573961</v>
      </c>
      <c r="K23" s="1" t="s">
        <v>53</v>
      </c>
      <c r="L23" s="1" t="s">
        <v>55</v>
      </c>
      <c r="M23" s="1">
        <v>28.821530683573961</v>
      </c>
      <c r="P23" s="1" t="s">
        <v>53</v>
      </c>
      <c r="Q23" s="1" t="s">
        <v>55</v>
      </c>
      <c r="R23" s="1">
        <v>28.821530683573961</v>
      </c>
      <c r="V23" s="1" t="s">
        <v>53</v>
      </c>
      <c r="W23" s="1" t="s">
        <v>55</v>
      </c>
      <c r="X23" s="1">
        <v>28.821530683573961</v>
      </c>
      <c r="AA23" s="1" t="s">
        <v>53</v>
      </c>
      <c r="AB23" s="1" t="s">
        <v>54</v>
      </c>
      <c r="AC23" s="1">
        <v>71.647244839835295</v>
      </c>
      <c r="AF23" s="1" t="s">
        <v>53</v>
      </c>
      <c r="AG23" s="1" t="s">
        <v>54</v>
      </c>
      <c r="AH23" s="1">
        <v>71.647244839835295</v>
      </c>
    </row>
    <row r="24" spans="1:34" x14ac:dyDescent="0.3">
      <c r="A24" s="1" t="s">
        <v>53</v>
      </c>
      <c r="B24" s="1" t="s">
        <v>56</v>
      </c>
      <c r="C24" s="1">
        <v>42.309184949325712</v>
      </c>
      <c r="F24" s="1" t="s">
        <v>53</v>
      </c>
      <c r="G24" s="1" t="s">
        <v>56</v>
      </c>
      <c r="H24" s="1">
        <v>42.309184949325712</v>
      </c>
      <c r="K24" s="1" t="s">
        <v>53</v>
      </c>
      <c r="L24" s="1" t="s">
        <v>56</v>
      </c>
      <c r="M24" s="1">
        <v>42.309184949325712</v>
      </c>
      <c r="P24" s="1" t="s">
        <v>53</v>
      </c>
      <c r="Q24" s="1" t="s">
        <v>56</v>
      </c>
      <c r="R24" s="1">
        <v>42.309184949325712</v>
      </c>
      <c r="V24" s="1" t="s">
        <v>53</v>
      </c>
      <c r="W24" s="1" t="s">
        <v>56</v>
      </c>
      <c r="X24" s="1">
        <v>42.309184949325712</v>
      </c>
      <c r="AA24" s="1" t="s">
        <v>53</v>
      </c>
      <c r="AB24" s="1" t="s">
        <v>55</v>
      </c>
      <c r="AC24" s="1">
        <v>28.821530683573961</v>
      </c>
      <c r="AF24" s="1" t="s">
        <v>53</v>
      </c>
      <c r="AG24" s="1" t="s">
        <v>55</v>
      </c>
      <c r="AH24" s="1">
        <v>28.821530683573961</v>
      </c>
    </row>
    <row r="25" spans="1:34" x14ac:dyDescent="0.3">
      <c r="A25" s="1" t="s">
        <v>51</v>
      </c>
      <c r="B25" s="1" t="s">
        <v>52</v>
      </c>
      <c r="C25" s="1">
        <v>0.88949999999999996</v>
      </c>
      <c r="F25" s="1" t="s">
        <v>51</v>
      </c>
      <c r="G25" s="1" t="s">
        <v>52</v>
      </c>
      <c r="H25" s="1">
        <v>0.88949999999999996</v>
      </c>
      <c r="K25" s="1" t="s">
        <v>51</v>
      </c>
      <c r="L25" s="1" t="s">
        <v>52</v>
      </c>
      <c r="M25" s="1">
        <v>0.88949999999999996</v>
      </c>
      <c r="P25" s="1" t="s">
        <v>51</v>
      </c>
      <c r="Q25" s="1" t="s">
        <v>52</v>
      </c>
      <c r="R25" s="1">
        <v>0.88949999999999996</v>
      </c>
      <c r="V25" s="1" t="s">
        <v>51</v>
      </c>
      <c r="W25" s="1" t="s">
        <v>52</v>
      </c>
      <c r="X25" s="1">
        <v>0.88949999999999996</v>
      </c>
      <c r="AA25" s="1" t="s">
        <v>53</v>
      </c>
      <c r="AB25" s="1" t="s">
        <v>56</v>
      </c>
      <c r="AC25" s="1">
        <v>42.309184949325712</v>
      </c>
      <c r="AF25" s="1" t="s">
        <v>53</v>
      </c>
      <c r="AG25" s="1" t="s">
        <v>56</v>
      </c>
      <c r="AH25" s="1">
        <v>42.309184949325712</v>
      </c>
    </row>
    <row r="26" spans="1:34" x14ac:dyDescent="0.3">
      <c r="A26" s="1" t="s">
        <v>85</v>
      </c>
      <c r="B26" s="1" t="s">
        <v>84</v>
      </c>
      <c r="C26" s="1">
        <v>1</v>
      </c>
      <c r="F26" s="1" t="s">
        <v>85</v>
      </c>
      <c r="G26" s="1" t="s">
        <v>84</v>
      </c>
      <c r="H26" s="1">
        <v>1</v>
      </c>
      <c r="K26" s="1" t="s">
        <v>85</v>
      </c>
      <c r="L26" s="1" t="s">
        <v>84</v>
      </c>
      <c r="M26" s="1">
        <v>1</v>
      </c>
      <c r="P26" s="1" t="s">
        <v>85</v>
      </c>
      <c r="Q26" s="1" t="s">
        <v>84</v>
      </c>
      <c r="R26" s="1">
        <v>1</v>
      </c>
      <c r="V26" s="1" t="s">
        <v>85</v>
      </c>
      <c r="W26" s="1" t="s">
        <v>84</v>
      </c>
      <c r="X26" s="1">
        <v>1</v>
      </c>
      <c r="AA26" s="1" t="s">
        <v>51</v>
      </c>
      <c r="AB26" s="1" t="s">
        <v>52</v>
      </c>
      <c r="AC26" s="1">
        <v>0.88949999999999996</v>
      </c>
      <c r="AF26" s="1" t="s">
        <v>51</v>
      </c>
      <c r="AG26" s="1" t="s">
        <v>52</v>
      </c>
      <c r="AH26" s="1">
        <v>0.88949999999999996</v>
      </c>
    </row>
    <row r="27" spans="1:34" x14ac:dyDescent="0.3">
      <c r="A27" s="1" t="s">
        <v>42</v>
      </c>
      <c r="B27" s="1" t="s">
        <v>43</v>
      </c>
      <c r="C27" s="1">
        <v>1.05</v>
      </c>
      <c r="F27" s="1" t="s">
        <v>42</v>
      </c>
      <c r="G27" s="1" t="s">
        <v>43</v>
      </c>
      <c r="H27" s="1">
        <v>1.05</v>
      </c>
      <c r="K27" s="1" t="s">
        <v>42</v>
      </c>
      <c r="L27" s="1" t="s">
        <v>43</v>
      </c>
      <c r="M27" s="1">
        <v>1.05</v>
      </c>
      <c r="P27" s="1" t="s">
        <v>42</v>
      </c>
      <c r="Q27" s="1" t="s">
        <v>43</v>
      </c>
      <c r="R27" s="1">
        <v>1.05</v>
      </c>
      <c r="V27" s="1" t="s">
        <v>42</v>
      </c>
      <c r="W27" s="1" t="s">
        <v>43</v>
      </c>
      <c r="X27" s="1">
        <v>1.05</v>
      </c>
      <c r="AA27" s="1" t="s">
        <v>85</v>
      </c>
      <c r="AB27" s="1" t="s">
        <v>84</v>
      </c>
      <c r="AC27" s="1">
        <v>1</v>
      </c>
      <c r="AF27" s="1" t="s">
        <v>85</v>
      </c>
      <c r="AG27" s="1" t="s">
        <v>84</v>
      </c>
      <c r="AH27" s="1">
        <v>1</v>
      </c>
    </row>
    <row r="28" spans="1:34" x14ac:dyDescent="0.3">
      <c r="A28" s="1" t="s">
        <v>42</v>
      </c>
      <c r="B28" s="1" t="s">
        <v>48</v>
      </c>
      <c r="C28" s="1">
        <v>1.05</v>
      </c>
      <c r="F28" s="1" t="s">
        <v>42</v>
      </c>
      <c r="G28" s="1" t="s">
        <v>48</v>
      </c>
      <c r="H28" s="1">
        <v>1.05</v>
      </c>
      <c r="K28" s="1" t="s">
        <v>42</v>
      </c>
      <c r="L28" s="1" t="s">
        <v>48</v>
      </c>
      <c r="M28" s="1">
        <v>1.05</v>
      </c>
      <c r="P28" s="1" t="s">
        <v>42</v>
      </c>
      <c r="Q28" s="1" t="s">
        <v>48</v>
      </c>
      <c r="R28" s="1">
        <v>1.05</v>
      </c>
      <c r="V28" s="1" t="s">
        <v>42</v>
      </c>
      <c r="W28" s="1" t="s">
        <v>48</v>
      </c>
      <c r="X28" s="1">
        <v>1.05</v>
      </c>
      <c r="AA28" s="1" t="s">
        <v>42</v>
      </c>
      <c r="AB28" s="1" t="s">
        <v>43</v>
      </c>
      <c r="AC28" s="1">
        <v>1.05</v>
      </c>
      <c r="AF28" s="1" t="s">
        <v>42</v>
      </c>
      <c r="AG28" s="1" t="s">
        <v>43</v>
      </c>
      <c r="AH28" s="1">
        <v>1.05</v>
      </c>
    </row>
    <row r="29" spans="1:34" x14ac:dyDescent="0.3">
      <c r="A29" s="1" t="s">
        <v>44</v>
      </c>
      <c r="B29" s="1" t="s">
        <v>45</v>
      </c>
      <c r="C29" s="1">
        <v>1</v>
      </c>
      <c r="F29" s="1" t="s">
        <v>44</v>
      </c>
      <c r="G29" s="1" t="s">
        <v>45</v>
      </c>
      <c r="H29" s="1">
        <v>1</v>
      </c>
      <c r="K29" s="1" t="s">
        <v>44</v>
      </c>
      <c r="L29" s="1" t="s">
        <v>45</v>
      </c>
      <c r="M29" s="1">
        <v>1</v>
      </c>
      <c r="P29" s="1" t="s">
        <v>44</v>
      </c>
      <c r="Q29" s="1" t="s">
        <v>45</v>
      </c>
      <c r="R29" s="1">
        <v>1</v>
      </c>
      <c r="V29" s="1" t="s">
        <v>44</v>
      </c>
      <c r="W29" s="1" t="s">
        <v>45</v>
      </c>
      <c r="X29" s="1">
        <v>1</v>
      </c>
      <c r="AA29" s="1" t="s">
        <v>42</v>
      </c>
      <c r="AB29" s="1" t="s">
        <v>48</v>
      </c>
      <c r="AC29" s="1">
        <v>1.05</v>
      </c>
      <c r="AF29" s="1" t="s">
        <v>42</v>
      </c>
      <c r="AG29" s="1" t="s">
        <v>48</v>
      </c>
      <c r="AH29" s="1">
        <v>1.05</v>
      </c>
    </row>
    <row r="30" spans="1:34" ht="19.5" customHeight="1" x14ac:dyDescent="0.3">
      <c r="A30" s="1" t="s">
        <v>46</v>
      </c>
      <c r="B30" s="1" t="s">
        <v>47</v>
      </c>
      <c r="C30" s="1">
        <v>1</v>
      </c>
      <c r="F30" s="1" t="s">
        <v>46</v>
      </c>
      <c r="G30" s="1" t="s">
        <v>47</v>
      </c>
      <c r="H30" s="1">
        <v>1</v>
      </c>
      <c r="K30" s="1" t="s">
        <v>46</v>
      </c>
      <c r="L30" s="1" t="s">
        <v>47</v>
      </c>
      <c r="M30" s="1">
        <v>1</v>
      </c>
      <c r="P30" s="1" t="s">
        <v>46</v>
      </c>
      <c r="Q30" s="1" t="s">
        <v>47</v>
      </c>
      <c r="R30" s="1">
        <v>1</v>
      </c>
      <c r="V30" s="1" t="s">
        <v>46</v>
      </c>
      <c r="W30" s="1" t="s">
        <v>47</v>
      </c>
      <c r="X30" s="1">
        <v>1</v>
      </c>
      <c r="AA30" s="1" t="s">
        <v>44</v>
      </c>
      <c r="AB30" s="1" t="s">
        <v>45</v>
      </c>
      <c r="AC30" s="1">
        <v>1</v>
      </c>
      <c r="AF30" s="1" t="s">
        <v>44</v>
      </c>
      <c r="AG30" s="1" t="s">
        <v>45</v>
      </c>
      <c r="AH30" s="1">
        <v>1</v>
      </c>
    </row>
    <row r="31" spans="1:34" x14ac:dyDescent="0.3">
      <c r="B31" s="1" t="s">
        <v>86</v>
      </c>
      <c r="C31" s="1">
        <f>PI()^2*C10*C12/1.1/C24/C24</f>
        <v>19095710.225685462</v>
      </c>
      <c r="G31" s="1" t="s">
        <v>86</v>
      </c>
      <c r="H31" s="1">
        <f>PI()^2*H10*H12/1.1/H24/H24</f>
        <v>19095710.225685462</v>
      </c>
      <c r="L31" s="1" t="s">
        <v>86</v>
      </c>
      <c r="M31" s="1">
        <f>PI()^2*M10*M12/1.1/M24/M24</f>
        <v>19095710.225685462</v>
      </c>
      <c r="Q31" s="1" t="s">
        <v>86</v>
      </c>
      <c r="R31" s="1">
        <f>PI()^2*R10*R12/1.1/R24/R24</f>
        <v>19095710.225685462</v>
      </c>
      <c r="W31" s="1" t="s">
        <v>86</v>
      </c>
      <c r="X31" s="1">
        <f>PI()^2*X10*X12/1.1/X24/X24</f>
        <v>19095710.225685462</v>
      </c>
      <c r="AA31" s="1" t="s">
        <v>46</v>
      </c>
      <c r="AB31" s="1" t="s">
        <v>47</v>
      </c>
      <c r="AC31" s="1">
        <v>1</v>
      </c>
      <c r="AF31" s="1" t="s">
        <v>46</v>
      </c>
      <c r="AG31" s="1" t="s">
        <v>47</v>
      </c>
      <c r="AH31" s="1">
        <v>1</v>
      </c>
    </row>
    <row r="32" spans="1:34" x14ac:dyDescent="0.3">
      <c r="C32" s="3">
        <f>C3*1000/C25/C12/C11+C29*C8*1000000/C26/C27/C20/C11+C30*C9*1000000/C28/C21/C11/(1-0.8*C3*1000/C31)</f>
        <v>2.1968955170401498</v>
      </c>
      <c r="D32" s="3" t="s">
        <v>57</v>
      </c>
      <c r="H32" s="3">
        <f>H3*1000/H25/H12/H11+H29*H8*1000000/H26/H27/H20/H11+H30*H9*1000000/H28/H21/H11/(1-0.8*H3*1000/H31)</f>
        <v>2.7839186444777426</v>
      </c>
      <c r="I32" s="3" t="s">
        <v>57</v>
      </c>
      <c r="M32" s="3">
        <f>M3*1000/M25/M12/M11+M29*M8*1000000/M26/M27/M20/M11+M30*M9*1000000/M28/M21/M11/(1-0.8*M3*1000/M31)</f>
        <v>2.7013013464494562</v>
      </c>
      <c r="N32" s="3" t="s">
        <v>57</v>
      </c>
      <c r="R32" s="3">
        <f>R3*1000/R25/R12/R11+R29*R8*1000000/R26/R27/R20/R11+R30*R9*1000000/R28/R21/R11/(1-0.8*R3*1000/R31)</f>
        <v>2.8427070264654994</v>
      </c>
      <c r="S32" s="3" t="s">
        <v>57</v>
      </c>
      <c r="X32" s="3">
        <f>X3*1000/X25/X12/X11+X29*X8*1000000/X26/X27/X20/X11+X30*X9*1000000/X28/X21/X11/(1-0.8*X3*1000/X31)</f>
        <v>2.8246688113472609</v>
      </c>
      <c r="Y32" s="3" t="s">
        <v>57</v>
      </c>
      <c r="AB32" s="1" t="s">
        <v>86</v>
      </c>
      <c r="AC32" s="1">
        <f>PI()^2*AC11*AC13/1.1/AC25/AC25</f>
        <v>19095710.225685462</v>
      </c>
      <c r="AG32" s="1" t="s">
        <v>86</v>
      </c>
      <c r="AH32" s="1">
        <f>PI()^2*AH11*AH13/1.1/AH25/AH25</f>
        <v>19095710.225685462</v>
      </c>
    </row>
    <row r="33" spans="12:41" x14ac:dyDescent="0.3">
      <c r="AC33" s="3">
        <f>AC4*1000/AC26/AC13/AC12+AC30*AC9*1000000/AC27/AC28/AC21/AC12+AC31*AC10*1000000/AC29/AC22/AC12/(1-0.8*AC4*1000/AC32)</f>
        <v>1.5157940501083271</v>
      </c>
      <c r="AD33" s="3" t="s">
        <v>57</v>
      </c>
      <c r="AH33" s="3">
        <f>AH4*1000/AH26/AH13/AH12+AH30*AH9*1000000/AH27/AH28/AH21/AH12+AH31*AH10*1000000/AH29/AH22/AH12/(1-0.8*AH4*1000/AH32)</f>
        <v>1.7123812400875793</v>
      </c>
      <c r="AI33" s="3" t="s">
        <v>57</v>
      </c>
      <c r="AN33" s="3"/>
      <c r="AO33" s="3"/>
    </row>
    <row r="40" spans="12:41" ht="15" customHeight="1" x14ac:dyDescent="0.3">
      <c r="L40" s="2"/>
    </row>
  </sheetData>
  <mergeCells count="8">
    <mergeCell ref="AA1:AC1"/>
    <mergeCell ref="AF1:AH1"/>
    <mergeCell ref="AL1:AN1"/>
    <mergeCell ref="A1:C1"/>
    <mergeCell ref="F1:H1"/>
    <mergeCell ref="K1:M1"/>
    <mergeCell ref="P1:R1"/>
    <mergeCell ref="V1:X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D140-31D2-467C-BBA3-43B88DCD42A5}">
  <dimension ref="B3:H10"/>
  <sheetViews>
    <sheetView workbookViewId="0">
      <selection activeCell="G22" sqref="G22"/>
    </sheetView>
  </sheetViews>
  <sheetFormatPr defaultColWidth="9" defaultRowHeight="14" x14ac:dyDescent="0.3"/>
  <cols>
    <col min="1" max="2" width="9" style="1"/>
    <col min="3" max="3" width="13.33203125" style="1" customWidth="1"/>
    <col min="4" max="4" width="13.5" style="1" customWidth="1"/>
    <col min="5" max="5" width="11.25" style="1" customWidth="1"/>
    <col min="6" max="6" width="13.33203125" style="1" customWidth="1"/>
    <col min="7" max="7" width="20" style="1" customWidth="1"/>
    <col min="8" max="16384" width="9" style="1"/>
  </cols>
  <sheetData>
    <row r="3" spans="2:8" x14ac:dyDescent="0.3">
      <c r="B3" s="1" t="s">
        <v>66</v>
      </c>
      <c r="C3" s="1" t="s">
        <v>74</v>
      </c>
      <c r="D3" s="1" t="s">
        <v>78</v>
      </c>
      <c r="E3" s="1" t="s">
        <v>81</v>
      </c>
      <c r="F3" s="1" t="s">
        <v>82</v>
      </c>
      <c r="G3" s="1" t="s">
        <v>83</v>
      </c>
    </row>
    <row r="4" spans="2:8" x14ac:dyDescent="0.3">
      <c r="B4" s="1" t="s">
        <v>67</v>
      </c>
      <c r="C4" s="9" t="s">
        <v>75</v>
      </c>
      <c r="D4" s="1">
        <v>0.11</v>
      </c>
      <c r="E4" s="1">
        <v>4188</v>
      </c>
      <c r="F4" s="1">
        <v>520.64</v>
      </c>
      <c r="G4" s="5">
        <v>2.1968955170401498</v>
      </c>
      <c r="H4" s="3" t="s">
        <v>65</v>
      </c>
    </row>
    <row r="5" spans="2:8" x14ac:dyDescent="0.3">
      <c r="B5" s="1" t="s">
        <v>68</v>
      </c>
      <c r="C5" s="9"/>
      <c r="D5" s="1">
        <v>0.23</v>
      </c>
      <c r="E5" s="1">
        <v>3258</v>
      </c>
      <c r="F5" s="1">
        <v>667.18</v>
      </c>
      <c r="G5" s="6">
        <v>2.7839186444777426</v>
      </c>
      <c r="H5" s="7" t="s">
        <v>65</v>
      </c>
    </row>
    <row r="6" spans="2:8" x14ac:dyDescent="0.3">
      <c r="B6" s="1" t="s">
        <v>69</v>
      </c>
      <c r="C6" s="9"/>
      <c r="D6" s="1">
        <v>0.34</v>
      </c>
      <c r="E6" s="1">
        <v>2687</v>
      </c>
      <c r="F6" s="1">
        <v>685.98</v>
      </c>
      <c r="G6" s="6">
        <v>2.7013013464494562</v>
      </c>
      <c r="H6" s="7" t="s">
        <v>65</v>
      </c>
    </row>
    <row r="7" spans="2:8" x14ac:dyDescent="0.3">
      <c r="B7" s="1" t="s">
        <v>70</v>
      </c>
      <c r="C7" s="9" t="s">
        <v>76</v>
      </c>
      <c r="D7" s="1">
        <v>0.28999999999999998</v>
      </c>
      <c r="E7" s="1">
        <v>3311</v>
      </c>
      <c r="F7" s="1">
        <v>568.5</v>
      </c>
      <c r="G7" s="6">
        <v>2.8427070264654994</v>
      </c>
      <c r="H7" s="7" t="s">
        <v>65</v>
      </c>
    </row>
    <row r="8" spans="2:8" x14ac:dyDescent="0.3">
      <c r="B8" s="1" t="s">
        <v>71</v>
      </c>
      <c r="C8" s="9"/>
      <c r="D8" s="1">
        <v>0.43</v>
      </c>
      <c r="E8" s="1">
        <v>2527</v>
      </c>
      <c r="F8" s="1">
        <v>622.23</v>
      </c>
      <c r="G8" s="6">
        <v>2.8246688113472609</v>
      </c>
      <c r="H8" s="7" t="s">
        <v>65</v>
      </c>
    </row>
    <row r="9" spans="2:8" x14ac:dyDescent="0.3">
      <c r="B9" s="1" t="s">
        <v>72</v>
      </c>
      <c r="C9" s="9" t="s">
        <v>77</v>
      </c>
      <c r="D9" s="1" t="s">
        <v>79</v>
      </c>
      <c r="E9" s="1">
        <v>2319</v>
      </c>
      <c r="F9" s="1">
        <v>533.67999999999995</v>
      </c>
      <c r="G9" s="6">
        <v>1.5157940501083271</v>
      </c>
      <c r="H9" s="7" t="s">
        <v>65</v>
      </c>
    </row>
    <row r="10" spans="2:8" x14ac:dyDescent="0.3">
      <c r="B10" s="1" t="s">
        <v>73</v>
      </c>
      <c r="C10" s="9"/>
      <c r="D10" s="1" t="s">
        <v>80</v>
      </c>
      <c r="E10" s="1">
        <v>2159</v>
      </c>
      <c r="F10" s="1">
        <v>475.38</v>
      </c>
      <c r="G10" s="6">
        <v>1.7123812400875793</v>
      </c>
      <c r="H10" s="7" t="s">
        <v>65</v>
      </c>
    </row>
  </sheetData>
  <mergeCells count="3">
    <mergeCell ref="C7:C8"/>
    <mergeCell ref="C4:C6"/>
    <mergeCell ref="C9:C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HNDRCG</dc:creator>
  <cp:lastModifiedBy>minghan Ding</cp:lastModifiedBy>
  <dcterms:created xsi:type="dcterms:W3CDTF">2025-08-20T14:45:13Z</dcterms:created>
  <dcterms:modified xsi:type="dcterms:W3CDTF">2026-03-24T06:08:26Z</dcterms:modified>
</cp:coreProperties>
</file>